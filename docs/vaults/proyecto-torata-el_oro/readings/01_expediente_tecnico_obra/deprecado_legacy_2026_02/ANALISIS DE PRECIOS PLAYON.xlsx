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EP 2026\05. PUENTE EL PLAYON DE TORATA\03. ANALISIS DE PRECIOS DEL PIENTE PLAYON\"/>
    </mc:Choice>
  </mc:AlternateContent>
  <bookViews>
    <workbookView xWindow="0" yWindow="0" windowWidth="26760" windowHeight="12000" firstSheet="1" activeTab="1"/>
  </bookViews>
  <sheets>
    <sheet name="Presupuesto" sheetId="2" state="hidden" r:id="rId1"/>
    <sheet name="1.1" sheetId="3" r:id="rId2"/>
    <sheet name="1.2" sheetId="4" r:id="rId3"/>
    <sheet name="2.1" sheetId="5" r:id="rId4"/>
    <sheet name="2.2" sheetId="6" r:id="rId5"/>
    <sheet name="2.3" sheetId="7" r:id="rId6"/>
    <sheet name="2.4" sheetId="8" r:id="rId7"/>
    <sheet name="2.5" sheetId="9" r:id="rId8"/>
    <sheet name="2.6" sheetId="10" r:id="rId9"/>
    <sheet name="2.7" sheetId="11" r:id="rId10"/>
    <sheet name="2.8" sheetId="12" r:id="rId11"/>
    <sheet name="2.9" sheetId="13" r:id="rId12"/>
    <sheet name="2.10" sheetId="14" r:id="rId13"/>
    <sheet name="2.11" sheetId="15" r:id="rId14"/>
    <sheet name="2.12" sheetId="16" r:id="rId15"/>
    <sheet name="2.13" sheetId="17" r:id="rId16"/>
    <sheet name="3.1" sheetId="18" r:id="rId17"/>
    <sheet name="3.2" sheetId="19" r:id="rId18"/>
    <sheet name="3.3" sheetId="20" r:id="rId19"/>
    <sheet name="3.4" sheetId="21" r:id="rId20"/>
    <sheet name="3.5" sheetId="22" r:id="rId21"/>
    <sheet name="3.6" sheetId="23" r:id="rId22"/>
    <sheet name="3.7" sheetId="24" r:id="rId23"/>
    <sheet name="3.8" sheetId="25" r:id="rId24"/>
  </sheets>
  <definedNames>
    <definedName name="_xlnm.Print_Area" localSheetId="1">'1.1'!$B$1:$H$37</definedName>
    <definedName name="_xlnm.Print_Area" localSheetId="2">'1.2'!$B$1:$H$40</definedName>
    <definedName name="_xlnm.Print_Area" localSheetId="3">'2.1'!$B$1:$H$46</definedName>
    <definedName name="_xlnm.Print_Area" localSheetId="12">'2.10'!$B$1:$H$44</definedName>
    <definedName name="_xlnm.Print_Area" localSheetId="13">'2.11'!$B$1:$H$44</definedName>
    <definedName name="_xlnm.Print_Area" localSheetId="14">'2.12'!$B$1:$H$43</definedName>
    <definedName name="_xlnm.Print_Area" localSheetId="15">'2.13'!$B$1:$H$41</definedName>
    <definedName name="_xlnm.Print_Area" localSheetId="4">'2.2'!$B$1:$H$38</definedName>
    <definedName name="_xlnm.Print_Area" localSheetId="5">'2.3'!$B$1:$H$42</definedName>
    <definedName name="_xlnm.Print_Area" localSheetId="6">'2.4'!$B$1:$H$39</definedName>
    <definedName name="_xlnm.Print_Area" localSheetId="7">'2.5'!$B$1:$H$40</definedName>
    <definedName name="_xlnm.Print_Area" localSheetId="8">'2.6'!$B$1:$H$36</definedName>
    <definedName name="_xlnm.Print_Area" localSheetId="9">'2.7'!$B$1:$H$48</definedName>
    <definedName name="_xlnm.Print_Area" localSheetId="10">'2.8'!$B$1:$H$40</definedName>
    <definedName name="_xlnm.Print_Area" localSheetId="11">'2.9'!$B$1:$H$36</definedName>
    <definedName name="_xlnm.Print_Area" localSheetId="16">'3.1'!$B$1:$H$36</definedName>
    <definedName name="_xlnm.Print_Area" localSheetId="17">'3.2'!$B$1:$H$36</definedName>
    <definedName name="_xlnm.Print_Area" localSheetId="18">'3.3'!$B$1:$H$36</definedName>
    <definedName name="_xlnm.Print_Area" localSheetId="19">'3.4'!$B$1:$H$38</definedName>
    <definedName name="_xlnm.Print_Area" localSheetId="20">'3.5'!$B$1:$H$36</definedName>
    <definedName name="_xlnm.Print_Area" localSheetId="21">'3.6'!$B$1:$H$36</definedName>
    <definedName name="_xlnm.Print_Area" localSheetId="22">'3.7'!$B$1:$H$36</definedName>
    <definedName name="_xlnm.Print_Area" localSheetId="23">'3.8'!$B$1:$H$50</definedName>
    <definedName name="_xlnm.Print_Area" localSheetId="0">Presupuesto!$B$1:$G$59</definedName>
    <definedName name="_xlnm.Print_Titles" localSheetId="0">Presupuesto!$A:$G,Presupuesto!$1:$8</definedName>
  </definedNames>
  <calcPr calcId="162913"/>
</workbook>
</file>

<file path=xl/calcChain.xml><?xml version="1.0" encoding="utf-8"?>
<calcChain xmlns="http://schemas.openxmlformats.org/spreadsheetml/2006/main">
  <c r="H46" i="25" l="1"/>
  <c r="H47" i="25" s="1"/>
  <c r="F21" i="25"/>
  <c r="F20" i="25"/>
  <c r="F19" i="25"/>
  <c r="F18" i="25"/>
  <c r="F12" i="25"/>
  <c r="F11" i="25"/>
  <c r="F10" i="25"/>
  <c r="H32" i="24"/>
  <c r="H35" i="24" s="1"/>
  <c r="H36" i="24" s="1"/>
  <c r="H33" i="24"/>
  <c r="F16" i="24"/>
  <c r="F10" i="24"/>
  <c r="H32" i="23"/>
  <c r="H35" i="23" s="1"/>
  <c r="H36" i="23" s="1"/>
  <c r="H33" i="23"/>
  <c r="F16" i="23"/>
  <c r="F10" i="23"/>
  <c r="H32" i="22"/>
  <c r="H35" i="22" s="1"/>
  <c r="H36" i="22" s="1"/>
  <c r="H33" i="22"/>
  <c r="F16" i="22"/>
  <c r="F10" i="22"/>
  <c r="H34" i="21"/>
  <c r="H37" i="21" s="1"/>
  <c r="H38" i="21" s="1"/>
  <c r="H35" i="21"/>
  <c r="F16" i="21"/>
  <c r="F10" i="21"/>
  <c r="H32" i="20"/>
  <c r="H35" i="20" s="1"/>
  <c r="H36" i="20" s="1"/>
  <c r="H33" i="20"/>
  <c r="F16" i="20"/>
  <c r="F10" i="20"/>
  <c r="H32" i="19"/>
  <c r="H35" i="19" s="1"/>
  <c r="H36" i="19" s="1"/>
  <c r="H33" i="19"/>
  <c r="F16" i="19"/>
  <c r="F10" i="19"/>
  <c r="H32" i="18"/>
  <c r="H35" i="18" s="1"/>
  <c r="H36" i="18" s="1"/>
  <c r="H33" i="18"/>
  <c r="F16" i="18"/>
  <c r="F10" i="18"/>
  <c r="H37" i="17"/>
  <c r="H40" i="17" s="1"/>
  <c r="H41" i="17" s="1"/>
  <c r="H38" i="17"/>
  <c r="F18" i="17"/>
  <c r="F17" i="17"/>
  <c r="F16" i="17"/>
  <c r="F10" i="17"/>
  <c r="H39" i="16"/>
  <c r="H40" i="16" s="1"/>
  <c r="F21" i="16"/>
  <c r="F20" i="16"/>
  <c r="F19" i="16"/>
  <c r="F13" i="16"/>
  <c r="F12" i="16"/>
  <c r="F11" i="16"/>
  <c r="F10" i="16"/>
  <c r="H40" i="15"/>
  <c r="H41" i="15" s="1"/>
  <c r="F24" i="15"/>
  <c r="F23" i="15"/>
  <c r="F22" i="15"/>
  <c r="F21" i="15"/>
  <c r="F20" i="15"/>
  <c r="F14" i="15"/>
  <c r="F13" i="15"/>
  <c r="F12" i="15"/>
  <c r="F11" i="15"/>
  <c r="F10" i="15"/>
  <c r="H40" i="14"/>
  <c r="H41" i="14"/>
  <c r="H43" i="14"/>
  <c r="H44" i="14"/>
  <c r="F23" i="14"/>
  <c r="F22" i="14"/>
  <c r="F21" i="14"/>
  <c r="F20" i="14"/>
  <c r="F14" i="14"/>
  <c r="F13" i="14"/>
  <c r="F12" i="14"/>
  <c r="F11" i="14"/>
  <c r="F10" i="14"/>
  <c r="F16" i="13"/>
  <c r="H32" i="13"/>
  <c r="H33" i="13"/>
  <c r="H35" i="13"/>
  <c r="H36" i="13" s="1"/>
  <c r="F10" i="13"/>
  <c r="H36" i="12"/>
  <c r="H37" i="12" s="1"/>
  <c r="F19" i="12"/>
  <c r="F18" i="12"/>
  <c r="F17" i="12"/>
  <c r="F11" i="12"/>
  <c r="F10" i="12"/>
  <c r="H44" i="11"/>
  <c r="H45" i="11" s="1"/>
  <c r="F21" i="11"/>
  <c r="F20" i="11"/>
  <c r="F19" i="11"/>
  <c r="F18" i="11"/>
  <c r="F12" i="11"/>
  <c r="F11" i="11"/>
  <c r="F10" i="11"/>
  <c r="H32" i="10"/>
  <c r="H35" i="10" s="1"/>
  <c r="H36" i="10" s="1"/>
  <c r="H33" i="10"/>
  <c r="F16" i="10"/>
  <c r="F10" i="10"/>
  <c r="H36" i="9"/>
  <c r="H39" i="9" s="1"/>
  <c r="H40" i="9" s="1"/>
  <c r="H37" i="9"/>
  <c r="F19" i="9"/>
  <c r="F18" i="9"/>
  <c r="F17" i="9"/>
  <c r="F11" i="9"/>
  <c r="F10" i="9"/>
  <c r="H35" i="8"/>
  <c r="H38" i="8" s="1"/>
  <c r="H39" i="8" s="1"/>
  <c r="H36" i="8"/>
  <c r="F19" i="8"/>
  <c r="F18" i="8"/>
  <c r="F17" i="8"/>
  <c r="F11" i="8"/>
  <c r="F10" i="8"/>
  <c r="H38" i="7"/>
  <c r="H41" i="7" s="1"/>
  <c r="H42" i="7" s="1"/>
  <c r="H39" i="7"/>
  <c r="F19" i="7"/>
  <c r="F18" i="7"/>
  <c r="F12" i="7"/>
  <c r="F11" i="7"/>
  <c r="F10" i="7"/>
  <c r="H34" i="6"/>
  <c r="H35" i="6"/>
  <c r="H37" i="6"/>
  <c r="H38" i="6"/>
  <c r="F18" i="6"/>
  <c r="F17" i="6"/>
  <c r="F16" i="6"/>
  <c r="F10" i="6"/>
  <c r="H42" i="5"/>
  <c r="H43" i="5" s="1"/>
  <c r="H45" i="5" s="1"/>
  <c r="H46" i="5" s="1"/>
  <c r="F25" i="5"/>
  <c r="F24" i="5"/>
  <c r="F23" i="5"/>
  <c r="F22" i="5"/>
  <c r="F21" i="5"/>
  <c r="F20" i="5"/>
  <c r="F14" i="5"/>
  <c r="F13" i="5"/>
  <c r="F12" i="5"/>
  <c r="F11" i="5"/>
  <c r="F10" i="5"/>
  <c r="H36" i="4"/>
  <c r="H37" i="4" s="1"/>
  <c r="F18" i="4"/>
  <c r="F17" i="4"/>
  <c r="F11" i="4"/>
  <c r="F10" i="4"/>
  <c r="H33" i="3"/>
  <c r="H34" i="3" s="1"/>
  <c r="F17" i="3"/>
  <c r="F16" i="3"/>
  <c r="F10" i="3"/>
  <c r="I1" i="2"/>
  <c r="H36" i="3" l="1"/>
  <c r="H37" i="3" s="1"/>
  <c r="H39" i="12"/>
  <c r="H40" i="12" s="1"/>
  <c r="H47" i="11"/>
  <c r="H48" i="11" s="1"/>
  <c r="H42" i="16"/>
  <c r="H43" i="16" s="1"/>
  <c r="H39" i="4"/>
  <c r="H40" i="4" s="1"/>
  <c r="H43" i="15"/>
  <c r="H44" i="15" s="1"/>
  <c r="H49" i="25"/>
  <c r="H50" i="25" s="1"/>
</calcChain>
</file>

<file path=xl/sharedStrings.xml><?xml version="1.0" encoding="utf-8"?>
<sst xmlns="http://schemas.openxmlformats.org/spreadsheetml/2006/main" count="1520" uniqueCount="248">
  <si>
    <t>GOBIERNO AUTONOMO DESCENTRALIZADO 
PROVINCIAL DE EL ORO</t>
  </si>
  <si>
    <t>Proyecto:</t>
  </si>
  <si>
    <t>CONSTRUCCIÓN DE PUENTE EN EL SITIO EL PLAYON, PARROQUIA TORATA, CANTÓN SANTA ROSA</t>
  </si>
  <si>
    <t xml:space="preserve">Elaborado: </t>
  </si>
  <si>
    <t>DIRECCIÒN DE ESTUDIOS , PROYECTOS Y COOPERACIÒN</t>
  </si>
  <si>
    <t>Ubicación:</t>
  </si>
  <si>
    <t>PARROQUIA TORATA , CANTÓN SANTA ROSA</t>
  </si>
  <si>
    <t>REVISIÓN:</t>
  </si>
  <si>
    <t>A</t>
  </si>
  <si>
    <t>Fecha:</t>
  </si>
  <si>
    <t>24/02/2026</t>
  </si>
  <si>
    <t>PRESUPUESTO</t>
  </si>
  <si>
    <t>Nro.</t>
  </si>
  <si>
    <t>Descripción</t>
  </si>
  <si>
    <t>Unidad</t>
  </si>
  <si>
    <t>Cantidad</t>
  </si>
  <si>
    <t>P.Unitario</t>
  </si>
  <si>
    <t>P.Total</t>
  </si>
  <si>
    <t/>
  </si>
  <si>
    <t>OBRAS PRELIMINARES</t>
  </si>
  <si>
    <t>LIMPIEZA Y DESBROCE</t>
  </si>
  <si>
    <t>m2</t>
  </si>
  <si>
    <t>TRAZADO Y REPLANTEO</t>
  </si>
  <si>
    <t>INFRAESTRUCTURA Y SUPERESTRUCTURA</t>
  </si>
  <si>
    <t>EXCAVACIÓN Y RELLENO PARA PUENTES</t>
  </si>
  <si>
    <t>m3</t>
  </si>
  <si>
    <t>EXCAVACIÓN MANUAL</t>
  </si>
  <si>
    <t>EXCAVACION EN ROCA</t>
  </si>
  <si>
    <t>EMPEDRADO BASE Ø&lt;=40cm</t>
  </si>
  <si>
    <t>RELLENO COMPACTADO CON MATERIAL DE MEJORAMIENTO</t>
  </si>
  <si>
    <t>TRANSPORTE DE MATERIAL DE MEJORAMIENTO</t>
  </si>
  <si>
    <t>m3-km</t>
  </si>
  <si>
    <t>HORMIGÓN SIMPLE f´c=240 kg/cm2</t>
  </si>
  <si>
    <t>ACERO DE REFUERZO fy=4200kg/cm2.</t>
  </si>
  <si>
    <t>Kg</t>
  </si>
  <si>
    <t>Suministro de acero estructural ASTM A-588</t>
  </si>
  <si>
    <t>Fabricación de acero estructural ASTM A-588</t>
  </si>
  <si>
    <t>Montaje de acero estructural  ASTM A-588</t>
  </si>
  <si>
    <t>kg</t>
  </si>
  <si>
    <t>Pintura acero estructural  ASTM A-588</t>
  </si>
  <si>
    <t>GAVIONES</t>
  </si>
  <si>
    <t>MITIGACIÓN DE IMPACTOS AMBIENTALES</t>
  </si>
  <si>
    <t>SEÑALIZACIÓN TIPO CABALLETE DE 1,20X0,60m. (HOMBRES TRABAJANDO)</t>
  </si>
  <si>
    <t>u</t>
  </si>
  <si>
    <t>RÓTULOS AMBIENTALES DE 1,20X0,80 TIPO PEDESTAL</t>
  </si>
  <si>
    <t>CINTA PLÁSTICA DE SEÑALIZACIÓN "PELIGRO"</t>
  </si>
  <si>
    <t>m</t>
  </si>
  <si>
    <t>PITUTOS DE DELIMITACIÓN CON CINTA REFLECTIVA</t>
  </si>
  <si>
    <t>CONOS EN POLIETILENO</t>
  </si>
  <si>
    <t>PALETAS DE SIGA Y PARE</t>
  </si>
  <si>
    <t>BATERÍA SANITARIA MÓVIL (u/mes)</t>
  </si>
  <si>
    <t>LETRERO DE OBRA 6.00 X4.00m (inc. estructura metalica, lona con impresión color)</t>
  </si>
  <si>
    <t>SUBTOTAL</t>
  </si>
  <si>
    <t>IVA</t>
  </si>
  <si>
    <t>15 %</t>
  </si>
  <si>
    <t>TOTAL</t>
  </si>
  <si>
    <t>SON:</t>
  </si>
  <si>
    <t>TRESCIENTOS OCHENTA Y  SEIS MIL CUATROCIENTOS NOVENTA Y  CUATRO  CON 61/100 DÓLARES DE LOS ESTADOS UNIDOS DE AMÉRICA</t>
  </si>
  <si>
    <t>ELABORADO:</t>
  </si>
  <si>
    <t xml:space="preserve">TECNICO: </t>
  </si>
  <si>
    <t>ING. JOSE CARPIO ROSALES.</t>
  </si>
  <si>
    <t>ARQ. CRISTHIAN TORRES RIVERA.</t>
  </si>
  <si>
    <t>TÉCNICO 3 DE ESTUDIOS Y PROYECTOS</t>
  </si>
  <si>
    <t>ANALISTA 2 DE ESTUDIOS Y PROYECTOS</t>
  </si>
  <si>
    <t>REVISADO:</t>
  </si>
  <si>
    <t xml:space="preserve">APROBADO:_x000D_
</t>
  </si>
  <si>
    <t xml:space="preserve"> </t>
  </si>
  <si>
    <t>ING JAIME ORTEGA CARRILLO</t>
  </si>
  <si>
    <t>ING. WILMER TORO OCHOA.</t>
  </si>
  <si>
    <t>JEFE DE ESTUDIOS, PROYECTOS Y COOPERACIÓN ( E )</t>
  </si>
  <si>
    <t>DIRECTOR DE ESTUDIOS, PROYECTOS Y COOPERACIÓN. (E)</t>
  </si>
  <si>
    <t>GOBIERNO AUTONOMO DESCENTRALIZADO_x000D_
 PROVINCIAL DE EL ORO</t>
  </si>
  <si>
    <t>DIRECCIÓN DE ESTUDIOS, PROYECTOS Y COOPERACIÓN</t>
  </si>
  <si>
    <t>ANALISIS DE PRECIOS UNITARIOS</t>
  </si>
  <si>
    <t>Hoja 1 de 23</t>
  </si>
  <si>
    <t>Rubro Nro.:</t>
  </si>
  <si>
    <t>Ítem:</t>
  </si>
  <si>
    <t>1.1</t>
  </si>
  <si>
    <t>EQUIPOS</t>
  </si>
  <si>
    <t>Cantidad
(A)</t>
  </si>
  <si>
    <t>Tarifa
(B)</t>
  </si>
  <si>
    <t>Costo Hora
C=A*B</t>
  </si>
  <si>
    <t>Rendim.
(R)</t>
  </si>
  <si>
    <t>Total
D=C*R</t>
  </si>
  <si>
    <t>Herramientas Manuales (5% mano de obra)</t>
  </si>
  <si>
    <t>5%MO</t>
  </si>
  <si>
    <t>SUBTOTAL (M)</t>
  </si>
  <si>
    <t>MANO DE OBRA</t>
  </si>
  <si>
    <t>Jornal/hr
(B)</t>
  </si>
  <si>
    <t>Peón (Estr.Oc.E2)</t>
  </si>
  <si>
    <t>Maestro mayor en ejecución de obras civiles (Estr.Oc.C1)</t>
  </si>
  <si>
    <t>SUBTOTAL (N)</t>
  </si>
  <si>
    <t>MATERIALES</t>
  </si>
  <si>
    <t>Precio
(B)</t>
  </si>
  <si>
    <t>Total
C=A*B</t>
  </si>
  <si>
    <t>SUBTOTAL (O)</t>
  </si>
  <si>
    <t>TRANSPORTE</t>
  </si>
  <si>
    <t>Tarifa/U
(B)</t>
  </si>
  <si>
    <t xml:space="preserve">Distancia km (C) </t>
  </si>
  <si>
    <t>Total
D=A*B*C</t>
  </si>
  <si>
    <t>SUBTOTAL (P)</t>
  </si>
  <si>
    <t>Precios no Incluyen IVA</t>
  </si>
  <si>
    <t>TOTAL COSTOS DIRECTOS (M+N+O+P)</t>
  </si>
  <si>
    <t xml:space="preserve">INDIRECTOS Y UTILIDADES   </t>
  </si>
  <si>
    <t>20 %</t>
  </si>
  <si>
    <t>OTROS INDIRECTOS</t>
  </si>
  <si>
    <t>COSTO TOTAL DEL RUBRO</t>
  </si>
  <si>
    <t>VALOR OFERTADO</t>
  </si>
  <si>
    <t>Hoja 2 de 23</t>
  </si>
  <si>
    <t>1.2</t>
  </si>
  <si>
    <t>Equipo topografico (Estación Total)</t>
  </si>
  <si>
    <t>Topógrafo (En Construcción - Estr.Oc.C1)</t>
  </si>
  <si>
    <t>Cadenero (Estr.Oc.D2)</t>
  </si>
  <si>
    <t>Estacas de madera</t>
  </si>
  <si>
    <t>U</t>
  </si>
  <si>
    <t>Clavos</t>
  </si>
  <si>
    <t>Pintura de esmalte</t>
  </si>
  <si>
    <t>galón(US)</t>
  </si>
  <si>
    <t>Hoja 3 de 23</t>
  </si>
  <si>
    <t>2.1</t>
  </si>
  <si>
    <t>Bomba de agua 3"</t>
  </si>
  <si>
    <t>Volquete 8 m3</t>
  </si>
  <si>
    <t>Compactador manual tipo plancha, 5HP</t>
  </si>
  <si>
    <t>Excavadora de Oruga 135HP</t>
  </si>
  <si>
    <t>Op. de Excavadora (Estr.Oc.C1)</t>
  </si>
  <si>
    <t>Engrasador o abastecedor responsable en construcción (En Construcción - Estr.Oc.D2)</t>
  </si>
  <si>
    <t>Albañil (Estr.Oc.D2)</t>
  </si>
  <si>
    <t>CHOFER: Volquetas (Estr.Oc.C1)</t>
  </si>
  <si>
    <t>Material para relleno estructural</t>
  </si>
  <si>
    <t>Tablestacada</t>
  </si>
  <si>
    <t>Hoja 4 de 23</t>
  </si>
  <si>
    <t>2.2</t>
  </si>
  <si>
    <t>Hoja 5 de 23</t>
  </si>
  <si>
    <t>2.3</t>
  </si>
  <si>
    <t>Rotomartillo 2100 Watts</t>
  </si>
  <si>
    <t>Generador electrico 300 KVA</t>
  </si>
  <si>
    <t>Operador de Equipo Liviano (Estr.Oc.D2)</t>
  </si>
  <si>
    <t>Dinamita</t>
  </si>
  <si>
    <t>Fulminante</t>
  </si>
  <si>
    <t>Mecha Lenta</t>
  </si>
  <si>
    <t>Nitrato de amonio</t>
  </si>
  <si>
    <t>Hoja 6 de 23</t>
  </si>
  <si>
    <t>2.4</t>
  </si>
  <si>
    <t>Retroexcavadora 75HP</t>
  </si>
  <si>
    <t>Op. de Retroexcavadora (Estr.Oc.C1)</t>
  </si>
  <si>
    <t>Piedra bola Ø&lt;=40cm</t>
  </si>
  <si>
    <t>m3.</t>
  </si>
  <si>
    <t>Hoja 7 de 23</t>
  </si>
  <si>
    <t>2.5</t>
  </si>
  <si>
    <t>Material de mejoramiento</t>
  </si>
  <si>
    <t>M3</t>
  </si>
  <si>
    <t>Agua</t>
  </si>
  <si>
    <t>Hoja 8 de 23</t>
  </si>
  <si>
    <t>2.6</t>
  </si>
  <si>
    <t>Volqueta 12 Tn</t>
  </si>
  <si>
    <t>Hoja 9 de 23</t>
  </si>
  <si>
    <t>2.7</t>
  </si>
  <si>
    <t>Concretera 12HP</t>
  </si>
  <si>
    <t>Vibrador de hormigón 5 HP</t>
  </si>
  <si>
    <t>Carpintero (Estr.Oc.D2)</t>
  </si>
  <si>
    <t>Cemento</t>
  </si>
  <si>
    <t>Tabla semidura</t>
  </si>
  <si>
    <t>Cuarton semiduro</t>
  </si>
  <si>
    <t>Aditivo plastificante e impermeabilizante</t>
  </si>
  <si>
    <t>Arena  gruesa (Incluye Transporte)</t>
  </si>
  <si>
    <t>Ripio triturado de 3/4" (Incluye Transporte)</t>
  </si>
  <si>
    <t>Hoja 10 de 23</t>
  </si>
  <si>
    <t>2.8</t>
  </si>
  <si>
    <t>Cortadora de hierro</t>
  </si>
  <si>
    <t>Fierrero (Estr.Oc.D2)</t>
  </si>
  <si>
    <t>Acero de Refuerzo</t>
  </si>
  <si>
    <t>kg.</t>
  </si>
  <si>
    <t>Alambre de Amarre #18</t>
  </si>
  <si>
    <t>Kg.</t>
  </si>
  <si>
    <t>Hoja 11 de 23</t>
  </si>
  <si>
    <t>2.9</t>
  </si>
  <si>
    <t>Acero estructural ASTM A-588</t>
  </si>
  <si>
    <t>Hoja 12 de 23</t>
  </si>
  <si>
    <t>2.10</t>
  </si>
  <si>
    <t>Motosoldadora</t>
  </si>
  <si>
    <t>Equipo de oxicorte</t>
  </si>
  <si>
    <t>Equipo de taller</t>
  </si>
  <si>
    <t>Grúa de patio</t>
  </si>
  <si>
    <t>Maestro soldador especializado (En Construcción - Estr.Oc.C1)</t>
  </si>
  <si>
    <t>Grúa estacionaria</t>
  </si>
  <si>
    <t>Ayudante de maquinaria</t>
  </si>
  <si>
    <t>Electrodos</t>
  </si>
  <si>
    <t>Oxígeno</t>
  </si>
  <si>
    <t>Hoja 13 de 23</t>
  </si>
  <si>
    <t>2.11</t>
  </si>
  <si>
    <t>Equipo de campo</t>
  </si>
  <si>
    <t>Grúa telescópica</t>
  </si>
  <si>
    <t>Material obra falsa</t>
  </si>
  <si>
    <t>Hoja 14 de 23</t>
  </si>
  <si>
    <t>2.12</t>
  </si>
  <si>
    <t>Compresor de aire 375 cfm. de 125 HP</t>
  </si>
  <si>
    <t>Equipo de pintura</t>
  </si>
  <si>
    <t>Andamios</t>
  </si>
  <si>
    <t>Pintor</t>
  </si>
  <si>
    <t>Electricista o instalador de revestimiento en general</t>
  </si>
  <si>
    <t>Pintura anticorrosiva cromato de zinc</t>
  </si>
  <si>
    <t>galón</t>
  </si>
  <si>
    <t>Pintura de aluminio</t>
  </si>
  <si>
    <t>Diluyente</t>
  </si>
  <si>
    <t>Hoja 15 de 23</t>
  </si>
  <si>
    <t>2.13</t>
  </si>
  <si>
    <t>GAVIÓN TRIPLE TORSIÓN 2X1X1</t>
  </si>
  <si>
    <t>GAVIÓN TRIPLE TORSIÓN 3X1X1</t>
  </si>
  <si>
    <t>Piedra Bola &gt; 8"</t>
  </si>
  <si>
    <t>ALAMBRE NO. 12</t>
  </si>
  <si>
    <t>Hoja 16 de 23</t>
  </si>
  <si>
    <t>3.1</t>
  </si>
  <si>
    <t>SEÑALIZACION TIPO CABALLETE (120X60 cm)</t>
  </si>
  <si>
    <t>Hoja 17 de 23</t>
  </si>
  <si>
    <t>3.2</t>
  </si>
  <si>
    <t>SEÑALES AMBIENTALES (1,20X0,80)M</t>
  </si>
  <si>
    <t>u.</t>
  </si>
  <si>
    <t>Hoja 18 de 23</t>
  </si>
  <si>
    <t>3.3</t>
  </si>
  <si>
    <t>Cinta de Peligro</t>
  </si>
  <si>
    <t>Hoja 19 de 23</t>
  </si>
  <si>
    <t>3.4</t>
  </si>
  <si>
    <t>Mojón de hormigón simple 40x40x40 cm</t>
  </si>
  <si>
    <t>PARANTE CAÑA H=1.20m.</t>
  </si>
  <si>
    <t>Cinta de material reflectivo</t>
  </si>
  <si>
    <t>Hoja 20 de 23</t>
  </si>
  <si>
    <t>3.5</t>
  </si>
  <si>
    <t>Conos de seguridad  h=0.70-0.90m</t>
  </si>
  <si>
    <t>Hoja 21 de 23</t>
  </si>
  <si>
    <t>3.6</t>
  </si>
  <si>
    <t>Paletas de sigue-pare</t>
  </si>
  <si>
    <t>Hoja 22 de 23</t>
  </si>
  <si>
    <t>3.7</t>
  </si>
  <si>
    <t>Bateria sanitaria Móvil (Incluye transporte e inst. de accesorios)</t>
  </si>
  <si>
    <t>Hoja 23 de 23</t>
  </si>
  <si>
    <t>3.8</t>
  </si>
  <si>
    <t>Soldadora 200V/300Amp.</t>
  </si>
  <si>
    <t>Camion 4 Tn</t>
  </si>
  <si>
    <t>Técnico electromecánico de construcción (Estr.Oc.D2)</t>
  </si>
  <si>
    <t>ACERO ESTRUCTURAL A36 (inc. Inhibidor de corrosion)</t>
  </si>
  <si>
    <t>BASE/SOP.PLANCHA 1.22x2.44x3mm</t>
  </si>
  <si>
    <t>PERNO DE REFUERZO</t>
  </si>
  <si>
    <t>REMACHES</t>
  </si>
  <si>
    <t>Pintura esmalte</t>
  </si>
  <si>
    <t>gl.</t>
  </si>
  <si>
    <t>HORMIGON SIMPLE f´c=210kg/cm2 Ø30cm</t>
  </si>
  <si>
    <t>Suelda  6011</t>
  </si>
  <si>
    <t>LONA IMPRESA FULL COLOR ( 14OZ, respaldo negro, resistencia UV, durabilidad min. 2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</si>
</sst>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0"/>
    <numFmt numFmtId="165" formatCode="[$-C0A]mmmm/yyyy;@"/>
    <numFmt numFmtId="166" formatCode="#,##0.0000"/>
  </numFmts>
  <fonts count="15" x14ac:knownFonts="1">
    <font>
      <sz val="11"/>
      <name val="Calibri"/>
      <family val="2"/>
      <scheme val="minor"/>
    </font>
    <font>
      <sz val="10"/>
      <name val="Arial"/>
    </font>
    <font>
      <sz val="10"/>
      <name val="Century Gothic"/>
    </font>
    <font>
      <sz val="9"/>
      <name val="Century Gothic"/>
    </font>
    <font>
      <b/>
      <sz val="14"/>
      <name val="Century Gothic"/>
    </font>
    <font>
      <b/>
      <sz val="9"/>
      <name val="Century Gothic"/>
    </font>
    <font>
      <b/>
      <sz val="10"/>
      <name val="Century Gothic"/>
    </font>
    <font>
      <sz val="14"/>
      <name val="Century Gothic"/>
    </font>
    <font>
      <sz val="8"/>
      <name val="Century Gothic"/>
    </font>
    <font>
      <b/>
      <sz val="8"/>
      <name val="Century Gothic"/>
    </font>
    <font>
      <b/>
      <sz val="7"/>
      <name val="Century Gothic"/>
    </font>
    <font>
      <sz val="8"/>
      <name val="Tahoma"/>
    </font>
    <font>
      <b/>
      <sz val="8"/>
      <name val="Tahoma"/>
    </font>
    <font>
      <sz val="7"/>
      <name val="Century Gothic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3E2"/>
      </patternFill>
    </fill>
    <fill>
      <patternFill patternType="solid">
        <fgColor theme="0" tint="-0.14996795556505021"/>
        <bgColor indexed="64"/>
      </patternFill>
    </fill>
  </fills>
  <borders count="9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1"/>
    <xf numFmtId="9" fontId="14" fillId="0" borderId="0" applyFont="0" applyFill="0" applyBorder="0" applyAlignment="0" applyProtection="0"/>
  </cellStyleXfs>
  <cellXfs count="2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164" fontId="5" fillId="0" borderId="2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horizontal="left" vertical="center" wrapText="1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right" vertical="center"/>
    </xf>
    <xf numFmtId="4" fontId="5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3" fontId="3" fillId="0" borderId="14" xfId="0" applyNumberFormat="1" applyFont="1" applyFill="1" applyBorder="1" applyAlignment="1">
      <alignment horizontal="center" vertical="center" wrapText="1"/>
    </xf>
    <xf numFmtId="164" fontId="5" fillId="0" borderId="15" xfId="0" applyNumberFormat="1" applyFont="1" applyFill="1" applyBorder="1" applyAlignment="1">
      <alignment horizontal="left" vertical="center" wrapText="1"/>
    </xf>
    <xf numFmtId="164" fontId="3" fillId="0" borderId="15" xfId="0" applyNumberFormat="1" applyFont="1" applyFill="1" applyBorder="1" applyAlignment="1">
      <alignment horizontal="center" vertical="center"/>
    </xf>
    <xf numFmtId="164" fontId="3" fillId="0" borderId="15" xfId="0" applyNumberFormat="1" applyFont="1" applyFill="1" applyBorder="1" applyAlignment="1">
      <alignment horizontal="right" vertical="center"/>
    </xf>
    <xf numFmtId="4" fontId="3" fillId="0" borderId="15" xfId="0" applyNumberFormat="1" applyFont="1" applyFill="1" applyBorder="1" applyAlignment="1">
      <alignment horizontal="right" vertical="center"/>
    </xf>
    <xf numFmtId="4" fontId="5" fillId="0" borderId="16" xfId="0" applyNumberFormat="1" applyFont="1" applyFill="1" applyBorder="1" applyAlignment="1">
      <alignment horizontal="right" vertical="center"/>
    </xf>
    <xf numFmtId="3" fontId="3" fillId="0" borderId="17" xfId="0" applyNumberFormat="1" applyFont="1" applyFill="1" applyBorder="1" applyAlignment="1">
      <alignment horizontal="center" vertical="center"/>
    </xf>
    <xf numFmtId="164" fontId="3" fillId="0" borderId="18" xfId="0" applyNumberFormat="1" applyFont="1" applyFill="1" applyBorder="1" applyAlignment="1">
      <alignment horizontal="left" vertical="center" wrapText="1"/>
    </xf>
    <xf numFmtId="164" fontId="3" fillId="0" borderId="18" xfId="0" applyNumberFormat="1" applyFont="1" applyFill="1" applyBorder="1" applyAlignment="1">
      <alignment horizontal="center" vertical="center"/>
    </xf>
    <xf numFmtId="164" fontId="3" fillId="0" borderId="18" xfId="0" applyNumberFormat="1" applyFont="1" applyFill="1" applyBorder="1" applyAlignment="1">
      <alignment horizontal="right" vertical="center"/>
    </xf>
    <xf numFmtId="4" fontId="3" fillId="0" borderId="18" xfId="0" applyNumberFormat="1" applyFont="1" applyFill="1" applyBorder="1" applyAlignment="1">
      <alignment horizontal="right" vertical="center"/>
    </xf>
    <xf numFmtId="4" fontId="3" fillId="0" borderId="19" xfId="0" applyNumberFormat="1" applyFont="1" applyFill="1" applyBorder="1" applyAlignment="1">
      <alignment horizontal="right" vertical="center"/>
    </xf>
    <xf numFmtId="164" fontId="5" fillId="0" borderId="18" xfId="0" applyNumberFormat="1" applyFont="1" applyFill="1" applyBorder="1" applyAlignment="1">
      <alignment horizontal="left" vertical="center" wrapText="1"/>
    </xf>
    <xf numFmtId="4" fontId="5" fillId="0" borderId="19" xfId="0" applyNumberFormat="1" applyFont="1" applyFill="1" applyBorder="1" applyAlignment="1">
      <alignment horizontal="right" vertical="center"/>
    </xf>
    <xf numFmtId="4" fontId="3" fillId="0" borderId="21" xfId="0" applyNumberFormat="1" applyFont="1" applyBorder="1" applyAlignment="1">
      <alignment horizontal="right" vertical="center"/>
    </xf>
    <xf numFmtId="4" fontId="5" fillId="0" borderId="22" xfId="0" applyNumberFormat="1" applyFont="1" applyBorder="1" applyAlignment="1">
      <alignment horizontal="right" vertical="center"/>
    </xf>
    <xf numFmtId="0" fontId="3" fillId="0" borderId="24" xfId="0" applyNumberFormat="1" applyFont="1" applyBorder="1" applyAlignment="1">
      <alignment horizontal="right" vertical="center"/>
    </xf>
    <xf numFmtId="4" fontId="5" fillId="0" borderId="25" xfId="0" applyNumberFormat="1" applyFont="1" applyBorder="1" applyAlignment="1">
      <alignment horizontal="right" vertical="center"/>
    </xf>
    <xf numFmtId="4" fontId="3" fillId="0" borderId="27" xfId="0" applyNumberFormat="1" applyFont="1" applyBorder="1" applyAlignment="1">
      <alignment horizontal="right" vertical="center"/>
    </xf>
    <xf numFmtId="4" fontId="5" fillId="0" borderId="28" xfId="0" applyNumberFormat="1" applyFont="1" applyBorder="1" applyAlignment="1">
      <alignment horizontal="right" vertical="center"/>
    </xf>
    <xf numFmtId="49" fontId="3" fillId="0" borderId="29" xfId="0" applyNumberFormat="1" applyFont="1" applyBorder="1" applyAlignment="1">
      <alignment horizontal="left" vertical="center"/>
    </xf>
    <xf numFmtId="49" fontId="3" fillId="0" borderId="30" xfId="0" applyNumberFormat="1" applyFont="1" applyBorder="1" applyAlignment="1">
      <alignment horizontal="left" vertical="center"/>
    </xf>
    <xf numFmtId="49" fontId="3" fillId="0" borderId="30" xfId="0" applyNumberFormat="1" applyFont="1" applyBorder="1" applyAlignment="1">
      <alignment horizontal="center" vertical="center"/>
    </xf>
    <xf numFmtId="4" fontId="3" fillId="0" borderId="30" xfId="0" applyNumberFormat="1" applyFont="1" applyBorder="1" applyAlignment="1">
      <alignment horizontal="right" vertical="center"/>
    </xf>
    <xf numFmtId="4" fontId="3" fillId="0" borderId="31" xfId="0" applyNumberFormat="1" applyFont="1" applyBorder="1" applyAlignment="1">
      <alignment horizontal="right" vertical="center"/>
    </xf>
    <xf numFmtId="49" fontId="5" fillId="0" borderId="32" xfId="0" applyNumberFormat="1" applyFont="1" applyBorder="1" applyAlignment="1">
      <alignment horizontal="left" vertical="center"/>
    </xf>
    <xf numFmtId="49" fontId="3" fillId="0" borderId="32" xfId="0" applyNumberFormat="1" applyFont="1" applyBorder="1" applyAlignment="1">
      <alignment horizontal="left" vertical="center"/>
    </xf>
    <xf numFmtId="49" fontId="3" fillId="0" borderId="3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9" fontId="3" fillId="0" borderId="1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3" fillId="0" borderId="33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2" fillId="0" borderId="3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49" fontId="12" fillId="0" borderId="1" xfId="0" applyNumberFormat="1" applyFont="1" applyBorder="1" applyAlignment="1">
      <alignment horizontal="center" vertical="center"/>
    </xf>
    <xf numFmtId="0" fontId="11" fillId="0" borderId="40" xfId="0" applyFont="1" applyBorder="1"/>
    <xf numFmtId="0" fontId="11" fillId="0" borderId="1" xfId="0" applyFont="1" applyBorder="1"/>
    <xf numFmtId="0" fontId="11" fillId="0" borderId="1" xfId="0" applyFont="1" applyBorder="1" applyAlignment="1"/>
    <xf numFmtId="0" fontId="11" fillId="0" borderId="41" xfId="0" applyFont="1" applyBorder="1" applyAlignment="1">
      <alignment horizontal="right"/>
    </xf>
    <xf numFmtId="49" fontId="12" fillId="0" borderId="40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4" fontId="11" fillId="0" borderId="41" xfId="0" applyNumberFormat="1" applyFont="1" applyBorder="1" applyAlignment="1">
      <alignment horizontal="right" wrapText="1"/>
    </xf>
    <xf numFmtId="49" fontId="12" fillId="0" borderId="40" xfId="0" applyNumberFormat="1" applyFont="1" applyBorder="1"/>
    <xf numFmtId="0" fontId="11" fillId="0" borderId="41" xfId="0" applyFont="1" applyBorder="1" applyAlignment="1"/>
    <xf numFmtId="0" fontId="2" fillId="0" borderId="1" xfId="0" applyFont="1" applyBorder="1"/>
    <xf numFmtId="0" fontId="3" fillId="0" borderId="1" xfId="0" applyFont="1" applyBorder="1"/>
    <xf numFmtId="166" fontId="12" fillId="3" borderId="48" xfId="1" applyNumberFormat="1" applyFont="1" applyFill="1" applyBorder="1" applyAlignment="1">
      <alignment horizontal="center" vertical="center" wrapText="1"/>
    </xf>
    <xf numFmtId="4" fontId="12" fillId="3" borderId="48" xfId="1" applyNumberFormat="1" applyFont="1" applyFill="1" applyBorder="1" applyAlignment="1">
      <alignment horizontal="center" vertical="center" wrapText="1"/>
    </xf>
    <xf numFmtId="4" fontId="12" fillId="3" borderId="49" xfId="1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164" fontId="11" fillId="0" borderId="52" xfId="1" applyNumberFormat="1" applyFont="1" applyBorder="1" applyAlignment="1">
      <alignment horizontal="right" vertical="center"/>
    </xf>
    <xf numFmtId="164" fontId="11" fillId="0" borderId="53" xfId="2" applyNumberFormat="1" applyFont="1" applyBorder="1" applyAlignment="1">
      <alignment horizontal="right" vertical="center"/>
    </xf>
    <xf numFmtId="164" fontId="11" fillId="0" borderId="56" xfId="1" applyNumberFormat="1" applyFont="1" applyBorder="1" applyAlignment="1">
      <alignment horizontal="right" vertical="center"/>
    </xf>
    <xf numFmtId="164" fontId="11" fillId="0" borderId="57" xfId="1" applyNumberFormat="1" applyFont="1" applyBorder="1" applyAlignment="1">
      <alignment horizontal="right" vertical="center"/>
    </xf>
    <xf numFmtId="164" fontId="11" fillId="0" borderId="58" xfId="2" applyNumberFormat="1" applyFont="1" applyBorder="1" applyAlignment="1">
      <alignment horizontal="right" vertical="center"/>
    </xf>
    <xf numFmtId="164" fontId="12" fillId="0" borderId="63" xfId="2" applyNumberFormat="1" applyFont="1" applyBorder="1" applyAlignment="1">
      <alignment horizontal="right" vertical="center"/>
    </xf>
    <xf numFmtId="49" fontId="12" fillId="0" borderId="40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166" fontId="12" fillId="0" borderId="41" xfId="0" applyNumberFormat="1" applyFont="1" applyBorder="1" applyAlignment="1">
      <alignment horizontal="right" vertical="center"/>
    </xf>
    <xf numFmtId="166" fontId="12" fillId="3" borderId="66" xfId="1" applyNumberFormat="1" applyFont="1" applyFill="1" applyBorder="1" applyAlignment="1">
      <alignment horizontal="center" vertical="center" wrapText="1"/>
    </xf>
    <xf numFmtId="4" fontId="12" fillId="3" borderId="66" xfId="1" applyNumberFormat="1" applyFont="1" applyFill="1" applyBorder="1" applyAlignment="1">
      <alignment horizontal="center" vertical="center" wrapText="1"/>
    </xf>
    <xf numFmtId="4" fontId="12" fillId="3" borderId="67" xfId="1" applyNumberFormat="1" applyFont="1" applyFill="1" applyBorder="1" applyAlignment="1">
      <alignment horizontal="center" vertical="center" wrapText="1"/>
    </xf>
    <xf numFmtId="164" fontId="11" fillId="0" borderId="18" xfId="1" applyNumberFormat="1" applyFont="1" applyBorder="1" applyAlignment="1">
      <alignment horizontal="right" vertical="center"/>
    </xf>
    <xf numFmtId="164" fontId="11" fillId="0" borderId="71" xfId="1" applyNumberFormat="1" applyFont="1" applyBorder="1" applyAlignment="1">
      <alignment horizontal="right" vertical="center"/>
    </xf>
    <xf numFmtId="164" fontId="11" fillId="0" borderId="72" xfId="2" applyNumberFormat="1" applyFont="1" applyBorder="1" applyAlignment="1">
      <alignment horizontal="right" vertical="center"/>
    </xf>
    <xf numFmtId="164" fontId="11" fillId="0" borderId="73" xfId="0" applyNumberFormat="1" applyFont="1" applyBorder="1" applyAlignment="1">
      <alignment horizontal="right" vertical="center"/>
    </xf>
    <xf numFmtId="0" fontId="11" fillId="0" borderId="40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4" fontId="12" fillId="3" borderId="48" xfId="1" applyNumberFormat="1" applyFont="1" applyFill="1" applyBorder="1" applyAlignment="1">
      <alignment horizontal="center" vertical="center"/>
    </xf>
    <xf numFmtId="49" fontId="11" fillId="0" borderId="71" xfId="0" applyNumberFormat="1" applyFont="1" applyBorder="1" applyAlignment="1">
      <alignment horizontal="center" vertical="center"/>
    </xf>
    <xf numFmtId="164" fontId="11" fillId="0" borderId="77" xfId="0" applyNumberFormat="1" applyFont="1" applyBorder="1" applyAlignment="1">
      <alignment horizontal="right" vertical="center"/>
    </xf>
    <xf numFmtId="164" fontId="11" fillId="0" borderId="72" xfId="2" applyNumberFormat="1" applyFont="1" applyBorder="1" applyAlignment="1">
      <alignment horizontal="right" vertical="center"/>
    </xf>
    <xf numFmtId="164" fontId="11" fillId="0" borderId="79" xfId="0" applyNumberFormat="1" applyFont="1" applyBorder="1" applyAlignment="1">
      <alignment horizontal="center" vertical="center"/>
    </xf>
    <xf numFmtId="4" fontId="12" fillId="3" borderId="66" xfId="1" applyNumberFormat="1" applyFont="1" applyFill="1" applyBorder="1" applyAlignment="1">
      <alignment horizontal="center" vertical="center"/>
    </xf>
    <xf numFmtId="49" fontId="12" fillId="3" borderId="66" xfId="1" applyNumberFormat="1" applyFont="1" applyFill="1" applyBorder="1" applyAlignment="1">
      <alignment horizontal="center" vertical="center" wrapText="1"/>
    </xf>
    <xf numFmtId="49" fontId="12" fillId="3" borderId="67" xfId="1" applyNumberFormat="1" applyFont="1" applyFill="1" applyBorder="1" applyAlignment="1">
      <alignment horizontal="center" vertical="center" wrapText="1"/>
    </xf>
    <xf numFmtId="49" fontId="11" fillId="0" borderId="18" xfId="0" applyNumberFormat="1" applyFont="1" applyBorder="1" applyAlignment="1">
      <alignment vertical="center" wrapText="1"/>
    </xf>
    <xf numFmtId="49" fontId="11" fillId="0" borderId="18" xfId="0" applyNumberFormat="1" applyFont="1" applyBorder="1" applyAlignment="1">
      <alignment horizontal="center" vertical="center"/>
    </xf>
    <xf numFmtId="164" fontId="11" fillId="0" borderId="18" xfId="0" applyNumberFormat="1" applyFont="1" applyBorder="1" applyAlignment="1">
      <alignment horizontal="right" vertical="center"/>
    </xf>
    <xf numFmtId="49" fontId="11" fillId="0" borderId="56" xfId="0" applyNumberFormat="1" applyFont="1" applyBorder="1" applyAlignment="1">
      <alignment vertical="center" wrapText="1"/>
    </xf>
    <xf numFmtId="164" fontId="11" fillId="0" borderId="56" xfId="0" applyNumberFormat="1" applyFont="1" applyBorder="1" applyAlignment="1">
      <alignment horizontal="center" vertical="center"/>
    </xf>
    <xf numFmtId="164" fontId="11" fillId="0" borderId="56" xfId="0" applyNumberFormat="1" applyFont="1" applyBorder="1" applyAlignment="1">
      <alignment horizontal="right" vertical="center"/>
    </xf>
    <xf numFmtId="49" fontId="11" fillId="0" borderId="40" xfId="0" applyNumberFormat="1" applyFont="1" applyBorder="1" applyAlignment="1">
      <alignment horizontal="left" vertical="center"/>
    </xf>
    <xf numFmtId="4" fontId="11" fillId="0" borderId="41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vertical="center"/>
    </xf>
    <xf numFmtId="49" fontId="12" fillId="0" borderId="81" xfId="0" applyNumberFormat="1" applyFont="1" applyBorder="1" applyAlignment="1">
      <alignment vertical="center"/>
    </xf>
    <xf numFmtId="49" fontId="12" fillId="0" borderId="82" xfId="0" applyNumberFormat="1" applyFont="1" applyBorder="1" applyAlignment="1">
      <alignment vertical="center"/>
    </xf>
    <xf numFmtId="164" fontId="12" fillId="0" borderId="83" xfId="1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/>
    </xf>
    <xf numFmtId="49" fontId="12" fillId="0" borderId="40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horizontal="right" vertical="center"/>
    </xf>
    <xf numFmtId="49" fontId="12" fillId="0" borderId="69" xfId="0" applyNumberFormat="1" applyFont="1" applyBorder="1" applyAlignment="1">
      <alignment horizontal="left" vertical="center"/>
    </xf>
    <xf numFmtId="49" fontId="12" fillId="0" borderId="71" xfId="0" applyNumberFormat="1" applyFont="1" applyBorder="1" applyAlignment="1">
      <alignment horizontal="right" vertical="center"/>
    </xf>
    <xf numFmtId="164" fontId="12" fillId="0" borderId="84" xfId="1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wrapText="1"/>
    </xf>
    <xf numFmtId="49" fontId="11" fillId="0" borderId="40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69" xfId="0" applyNumberFormat="1" applyFont="1" applyBorder="1" applyAlignment="1">
      <alignment vertical="center"/>
    </xf>
    <xf numFmtId="49" fontId="12" fillId="0" borderId="71" xfId="0" applyNumberFormat="1" applyFont="1" applyBorder="1" applyAlignment="1">
      <alignment vertical="center"/>
    </xf>
    <xf numFmtId="4" fontId="12" fillId="0" borderId="84" xfId="1" applyNumberFormat="1" applyFont="1" applyBorder="1" applyAlignment="1">
      <alignment horizontal="right" vertical="center"/>
    </xf>
    <xf numFmtId="166" fontId="12" fillId="0" borderId="85" xfId="0" applyNumberFormat="1" applyFont="1" applyBorder="1" applyAlignment="1">
      <alignment horizontal="left" vertical="center"/>
    </xf>
    <xf numFmtId="4" fontId="12" fillId="0" borderId="86" xfId="0" applyNumberFormat="1" applyFont="1" applyBorder="1" applyAlignment="1">
      <alignment horizontal="right" vertical="center"/>
    </xf>
    <xf numFmtId="166" fontId="12" fillId="0" borderId="86" xfId="0" applyNumberFormat="1" applyFont="1" applyBorder="1" applyAlignment="1">
      <alignment horizontal="right" vertical="center"/>
    </xf>
    <xf numFmtId="164" fontId="12" fillId="0" borderId="87" xfId="1" applyNumberFormat="1" applyFont="1" applyBorder="1" applyAlignment="1">
      <alignment horizontal="right" vertical="center"/>
    </xf>
    <xf numFmtId="49" fontId="12" fillId="3" borderId="90" xfId="0" applyNumberFormat="1" applyFont="1" applyFill="1" applyBorder="1" applyAlignment="1">
      <alignment vertical="center"/>
    </xf>
    <xf numFmtId="49" fontId="12" fillId="3" borderId="91" xfId="0" applyNumberFormat="1" applyFont="1" applyFill="1" applyBorder="1" applyAlignment="1">
      <alignment vertical="center"/>
    </xf>
    <xf numFmtId="4" fontId="12" fillId="3" borderId="92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4" fontId="3" fillId="0" borderId="0" xfId="0" applyNumberFormat="1" applyFont="1" applyFill="1" applyAlignment="1">
      <alignment horizontal="right"/>
    </xf>
    <xf numFmtId="49" fontId="11" fillId="0" borderId="95" xfId="0" applyNumberFormat="1" applyFont="1" applyBorder="1" applyAlignment="1">
      <alignment horizontal="center" vertical="center"/>
    </xf>
    <xf numFmtId="164" fontId="11" fillId="0" borderId="94" xfId="0" applyNumberFormat="1" applyFont="1" applyBorder="1" applyAlignment="1">
      <alignment horizontal="right" vertical="center"/>
    </xf>
    <xf numFmtId="49" fontId="11" fillId="0" borderId="71" xfId="0" applyNumberFormat="1" applyFont="1" applyBorder="1" applyAlignment="1">
      <alignment horizontal="center" vertical="center"/>
    </xf>
    <xf numFmtId="164" fontId="11" fillId="0" borderId="77" xfId="0" applyNumberFormat="1" applyFont="1" applyBorder="1" applyAlignment="1">
      <alignment horizontal="right" vertical="center"/>
    </xf>
    <xf numFmtId="164" fontId="11" fillId="0" borderId="18" xfId="1" applyNumberFormat="1" applyFont="1" applyBorder="1" applyAlignment="1">
      <alignment horizontal="right" vertical="center"/>
    </xf>
    <xf numFmtId="164" fontId="11" fillId="0" borderId="71" xfId="1" applyNumberFormat="1" applyFont="1" applyBorder="1" applyAlignment="1">
      <alignment horizontal="right" vertical="center"/>
    </xf>
    <xf numFmtId="49" fontId="11" fillId="0" borderId="52" xfId="0" applyNumberFormat="1" applyFont="1" applyBorder="1" applyAlignment="1">
      <alignment vertical="center" wrapText="1"/>
    </xf>
    <xf numFmtId="49" fontId="11" fillId="0" borderId="52" xfId="0" applyNumberFormat="1" applyFont="1" applyBorder="1" applyAlignment="1">
      <alignment horizontal="center" vertical="center"/>
    </xf>
    <xf numFmtId="164" fontId="11" fillId="0" borderId="52" xfId="0" applyNumberFormat="1" applyFont="1" applyBorder="1" applyAlignment="1">
      <alignment horizontal="right" vertical="center"/>
    </xf>
    <xf numFmtId="164" fontId="11" fillId="0" borderId="49" xfId="2" applyNumberFormat="1" applyFont="1" applyBorder="1" applyAlignment="1">
      <alignment horizontal="right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3" xfId="0" applyNumberFormat="1" applyFont="1" applyBorder="1" applyAlignment="1">
      <alignment horizontal="left" vertical="top" wrapText="1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49" fontId="5" fillId="0" borderId="26" xfId="0" applyNumberFormat="1" applyFont="1" applyBorder="1" applyAlignment="1">
      <alignment horizontal="right" vertical="center"/>
    </xf>
    <xf numFmtId="49" fontId="5" fillId="0" borderId="27" xfId="0" applyNumberFormat="1" applyFont="1" applyBorder="1" applyAlignment="1">
      <alignment horizontal="right" vertical="center"/>
    </xf>
    <xf numFmtId="0" fontId="8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9" fillId="0" borderId="34" xfId="0" applyNumberFormat="1" applyFont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12" fillId="0" borderId="88" xfId="0" applyNumberFormat="1" applyFont="1" applyBorder="1" applyAlignment="1">
      <alignment horizontal="center" vertical="center"/>
    </xf>
    <xf numFmtId="49" fontId="12" fillId="0" borderId="89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left" vertical="center"/>
    </xf>
    <xf numFmtId="49" fontId="12" fillId="0" borderId="60" xfId="0" applyNumberFormat="1" applyFont="1" applyBorder="1" applyAlignment="1">
      <alignment horizontal="left" vertical="center"/>
    </xf>
    <xf numFmtId="49" fontId="12" fillId="0" borderId="61" xfId="0" applyNumberFormat="1" applyFont="1" applyBorder="1" applyAlignment="1">
      <alignment horizontal="left" vertical="center"/>
    </xf>
    <xf numFmtId="49" fontId="12" fillId="0" borderId="62" xfId="0" applyNumberFormat="1" applyFont="1" applyBorder="1" applyAlignment="1">
      <alignment horizontal="left" vertical="center"/>
    </xf>
    <xf numFmtId="49" fontId="12" fillId="3" borderId="42" xfId="0" applyNumberFormat="1" applyFont="1" applyFill="1" applyBorder="1" applyAlignment="1">
      <alignment horizontal="center" vertical="center"/>
    </xf>
    <xf numFmtId="49" fontId="12" fillId="3" borderId="65" xfId="0" applyNumberFormat="1" applyFont="1" applyFill="1" applyBorder="1" applyAlignment="1">
      <alignment horizontal="center" vertical="center"/>
    </xf>
    <xf numFmtId="49" fontId="11" fillId="0" borderId="78" xfId="0" applyNumberFormat="1" applyFont="1" applyBorder="1" applyAlignment="1">
      <alignment horizontal="left" vertical="center" wrapText="1"/>
    </xf>
    <xf numFmtId="49" fontId="11" fillId="0" borderId="79" xfId="0" applyNumberFormat="1" applyFont="1" applyBorder="1" applyAlignment="1">
      <alignment horizontal="left" vertical="center" wrapText="1"/>
    </xf>
    <xf numFmtId="49" fontId="11" fillId="0" borderId="73" xfId="0" applyNumberFormat="1" applyFont="1" applyBorder="1" applyAlignment="1">
      <alignment horizontal="left" vertical="center" wrapText="1"/>
    </xf>
    <xf numFmtId="49" fontId="11" fillId="0" borderId="75" xfId="0" applyNumberFormat="1" applyFont="1" applyBorder="1" applyAlignment="1">
      <alignment horizontal="left" vertical="center" wrapText="1"/>
    </xf>
    <xf numFmtId="49" fontId="11" fillId="0" borderId="76" xfId="0" applyNumberFormat="1" applyFont="1" applyBorder="1" applyAlignment="1">
      <alignment horizontal="left" vertical="center" wrapText="1"/>
    </xf>
    <xf numFmtId="49" fontId="11" fillId="0" borderId="77" xfId="0" applyNumberFormat="1" applyFont="1" applyBorder="1" applyAlignment="1">
      <alignment horizontal="left" vertical="center" wrapText="1"/>
    </xf>
    <xf numFmtId="49" fontId="12" fillId="3" borderId="46" xfId="0" applyNumberFormat="1" applyFont="1" applyFill="1" applyBorder="1" applyAlignment="1">
      <alignment horizontal="center" vertical="center"/>
    </xf>
    <xf numFmtId="49" fontId="12" fillId="3" borderId="74" xfId="0" applyNumberFormat="1" applyFont="1" applyFill="1" applyBorder="1" applyAlignment="1">
      <alignment horizontal="center" vertical="center"/>
    </xf>
    <xf numFmtId="49" fontId="12" fillId="3" borderId="47" xfId="0" applyNumberFormat="1" applyFont="1" applyFill="1" applyBorder="1" applyAlignment="1">
      <alignment horizontal="center" vertical="center"/>
    </xf>
    <xf numFmtId="49" fontId="12" fillId="3" borderId="64" xfId="0" applyNumberFormat="1" applyFont="1" applyFill="1" applyBorder="1" applyAlignment="1">
      <alignment horizontal="left" vertical="center"/>
    </xf>
    <xf numFmtId="49" fontId="12" fillId="3" borderId="65" xfId="0" applyNumberFormat="1" applyFont="1" applyFill="1" applyBorder="1" applyAlignment="1">
      <alignment horizontal="left" vertical="center"/>
    </xf>
    <xf numFmtId="49" fontId="12" fillId="3" borderId="66" xfId="0" applyNumberFormat="1" applyFont="1" applyFill="1" applyBorder="1" applyAlignment="1">
      <alignment horizontal="left" vertical="center"/>
    </xf>
    <xf numFmtId="49" fontId="12" fillId="3" borderId="67" xfId="0" applyNumberFormat="1" applyFont="1" applyFill="1" applyBorder="1" applyAlignment="1">
      <alignment horizontal="left" vertical="center"/>
    </xf>
    <xf numFmtId="49" fontId="11" fillId="0" borderId="17" xfId="0" applyNumberFormat="1" applyFont="1" applyBorder="1" applyAlignment="1">
      <alignment horizontal="left" vertical="center" wrapText="1"/>
    </xf>
    <xf numFmtId="49" fontId="11" fillId="0" borderId="18" xfId="0" applyNumberFormat="1" applyFont="1" applyBorder="1" applyAlignment="1">
      <alignment horizontal="left" vertical="center" wrapText="1"/>
    </xf>
    <xf numFmtId="49" fontId="11" fillId="0" borderId="80" xfId="0" applyNumberFormat="1" applyFont="1" applyBorder="1" applyAlignment="1">
      <alignment horizontal="left" vertical="center" wrapText="1"/>
    </xf>
    <xf numFmtId="49" fontId="11" fillId="0" borderId="56" xfId="0" applyNumberFormat="1" applyFont="1" applyBorder="1" applyAlignment="1">
      <alignment horizontal="left" vertical="center" wrapText="1"/>
    </xf>
    <xf numFmtId="49" fontId="11" fillId="0" borderId="50" xfId="0" applyNumberFormat="1" applyFont="1" applyBorder="1" applyAlignment="1">
      <alignment horizontal="left" vertical="center" wrapText="1"/>
    </xf>
    <xf numFmtId="49" fontId="11" fillId="0" borderId="68" xfId="0" applyNumberFormat="1" applyFont="1" applyBorder="1" applyAlignment="1">
      <alignment horizontal="left" vertical="center" wrapText="1"/>
    </xf>
    <xf numFmtId="49" fontId="11" fillId="0" borderId="54" xfId="0" applyNumberFormat="1" applyFont="1" applyBorder="1" applyAlignment="1">
      <alignment horizontal="left" vertical="center" wrapText="1"/>
    </xf>
    <xf numFmtId="49" fontId="11" fillId="0" borderId="55" xfId="0" applyNumberFormat="1" applyFont="1" applyBorder="1" applyAlignment="1">
      <alignment horizontal="left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49" fontId="12" fillId="3" borderId="23" xfId="0" applyNumberFormat="1" applyFont="1" applyFill="1" applyBorder="1" applyAlignment="1">
      <alignment horizontal="left" vertical="center"/>
    </xf>
    <xf numFmtId="49" fontId="12" fillId="3" borderId="45" xfId="0" applyNumberFormat="1" applyFont="1" applyFill="1" applyBorder="1" applyAlignment="1">
      <alignment horizontal="left" vertical="center"/>
    </xf>
    <xf numFmtId="49" fontId="12" fillId="3" borderId="24" xfId="0" applyNumberFormat="1" applyFont="1" applyFill="1" applyBorder="1" applyAlignment="1">
      <alignment horizontal="left" vertical="center"/>
    </xf>
    <xf numFmtId="49" fontId="12" fillId="3" borderId="25" xfId="0" applyNumberFormat="1" applyFont="1" applyFill="1" applyBorder="1" applyAlignment="1">
      <alignment horizontal="left" vertical="center"/>
    </xf>
    <xf numFmtId="49" fontId="11" fillId="0" borderId="51" xfId="0" applyNumberFormat="1" applyFont="1" applyBorder="1" applyAlignment="1">
      <alignment horizontal="left" vertical="center" wrapText="1"/>
    </xf>
    <xf numFmtId="49" fontId="12" fillId="3" borderId="43" xfId="0" applyNumberFormat="1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49" fontId="11" fillId="0" borderId="69" xfId="0" applyNumberFormat="1" applyFont="1" applyBorder="1" applyAlignment="1">
      <alignment horizontal="left" vertical="center" wrapText="1"/>
    </xf>
    <xf numFmtId="49" fontId="11" fillId="0" borderId="70" xfId="0" applyNumberFormat="1" applyFont="1" applyBorder="1" applyAlignment="1">
      <alignment horizontal="left" vertical="center" wrapText="1"/>
    </xf>
    <xf numFmtId="49" fontId="11" fillId="0" borderId="93" xfId="0" applyNumberFormat="1" applyFont="1" applyBorder="1" applyAlignment="1">
      <alignment horizontal="left" vertical="center" wrapText="1"/>
    </xf>
    <xf numFmtId="49" fontId="11" fillId="0" borderId="94" xfId="0" applyNumberFormat="1" applyFont="1" applyBorder="1" applyAlignment="1">
      <alignment horizontal="left" vertical="center" wrapText="1"/>
    </xf>
    <xf numFmtId="49" fontId="11" fillId="0" borderId="96" xfId="0" applyNumberFormat="1" applyFont="1" applyBorder="1" applyAlignment="1">
      <alignment horizontal="left" vertical="center" wrapText="1"/>
    </xf>
    <xf numFmtId="49" fontId="11" fillId="0" borderId="52" xfId="0" applyNumberFormat="1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Porcentaje" xfId="2" builtinId="5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85090</xdr:colOff>
      <xdr:row>0</xdr:row>
      <xdr:rowOff>19050</xdr:rowOff>
    </xdr:from>
    <xdr:ext cx="1076960" cy="67564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5</xdr:col>
      <xdr:colOff>762000</xdr:colOff>
      <xdr:row>0</xdr:row>
      <xdr:rowOff>37465</xdr:rowOff>
    </xdr:from>
    <xdr:ext cx="1076325" cy="6000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0</xdr:row>
      <xdr:rowOff>160655</xdr:rowOff>
    </xdr:from>
    <xdr:ext cx="970915" cy="53784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1</xdr:col>
      <xdr:colOff>38100</xdr:colOff>
      <xdr:row>0</xdr:row>
      <xdr:rowOff>83820</xdr:rowOff>
    </xdr:from>
    <xdr:ext cx="971550" cy="6146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9"/>
  <sheetViews>
    <sheetView showGridLines="0" view="pageBreakPreview" topLeftCell="B1" zoomScale="115" zoomScaleNormal="115" zoomScaleSheetLayoutView="115" workbookViewId="0">
      <pane xSplit="2" ySplit="8" topLeftCell="D30" activePane="bottomRight" state="frozen"/>
      <selection activeCell="B1" sqref="B1"/>
      <selection pane="topRight" activeCell="C1" sqref="C1"/>
      <selection pane="bottomLeft" activeCell="A9" sqref="A9"/>
      <selection pane="bottomRight" activeCell="E15" sqref="E15"/>
    </sheetView>
  </sheetViews>
  <sheetFormatPr baseColWidth="10" defaultColWidth="11.42578125" defaultRowHeight="15" x14ac:dyDescent="0.25"/>
  <cols>
    <col min="1" max="1" width="6.7109375" style="2" customWidth="1"/>
    <col min="2" max="2" width="12.42578125" style="3" customWidth="1"/>
    <col min="3" max="3" width="35.5703125" style="3" customWidth="1"/>
    <col min="4" max="4" width="8.42578125" style="3" bestFit="1" customWidth="1"/>
    <col min="5" max="7" width="15.7109375" style="3" customWidth="1"/>
    <col min="8" max="8" width="11.42578125" style="3"/>
    <col min="9" max="9" width="15.7109375" style="3" customWidth="1"/>
    <col min="10" max="254" width="11.42578125" style="3"/>
    <col min="255" max="256" width="11.42578125" style="4"/>
  </cols>
  <sheetData>
    <row r="1" spans="1:9" ht="42" customHeight="1" x14ac:dyDescent="0.25">
      <c r="B1" s="197" t="s">
        <v>0</v>
      </c>
      <c r="C1" s="198"/>
      <c r="D1" s="198"/>
      <c r="E1" s="198"/>
      <c r="F1" s="198"/>
      <c r="G1" s="198"/>
      <c r="I1" s="5">
        <f>+G35</f>
        <v>386494.61</v>
      </c>
    </row>
    <row r="2" spans="1:9" ht="21" customHeight="1" x14ac:dyDescent="0.25">
      <c r="B2" s="199"/>
      <c r="C2" s="199"/>
      <c r="D2" s="199"/>
      <c r="E2" s="199"/>
      <c r="F2" s="199"/>
      <c r="G2" s="199"/>
    </row>
    <row r="3" spans="1:9" ht="18" customHeight="1" x14ac:dyDescent="0.25">
      <c r="B3" s="6" t="s">
        <v>1</v>
      </c>
      <c r="C3" s="200" t="s">
        <v>2</v>
      </c>
      <c r="D3" s="201"/>
      <c r="E3" s="201"/>
      <c r="F3" s="201"/>
      <c r="G3" s="202"/>
    </row>
    <row r="4" spans="1:9" ht="20.25" customHeight="1" x14ac:dyDescent="0.25">
      <c r="B4" s="7" t="s">
        <v>3</v>
      </c>
      <c r="C4" s="203" t="s">
        <v>4</v>
      </c>
      <c r="D4" s="204"/>
      <c r="E4" s="204"/>
      <c r="F4" s="205"/>
      <c r="G4" s="8"/>
    </row>
    <row r="5" spans="1:9" ht="20.25" customHeight="1" x14ac:dyDescent="0.25">
      <c r="B5" s="7" t="s">
        <v>5</v>
      </c>
      <c r="C5" s="203" t="s">
        <v>6</v>
      </c>
      <c r="D5" s="204"/>
      <c r="E5" s="205"/>
      <c r="F5" s="8" t="s">
        <v>7</v>
      </c>
      <c r="G5" s="8" t="s">
        <v>8</v>
      </c>
    </row>
    <row r="6" spans="1:9" ht="18.75" customHeight="1" thickBot="1" x14ac:dyDescent="0.3">
      <c r="B6" s="7" t="s">
        <v>9</v>
      </c>
      <c r="C6" s="9" t="s">
        <v>10</v>
      </c>
      <c r="D6" s="7"/>
      <c r="E6" s="7"/>
      <c r="F6" s="7"/>
      <c r="G6" s="7"/>
    </row>
    <row r="7" spans="1:9" x14ac:dyDescent="0.25">
      <c r="B7" s="194" t="s">
        <v>11</v>
      </c>
      <c r="C7" s="195"/>
      <c r="D7" s="195"/>
      <c r="E7" s="195"/>
      <c r="F7" s="195"/>
      <c r="G7" s="196"/>
    </row>
    <row r="8" spans="1:9" ht="15.75" thickBot="1" x14ac:dyDescent="0.3">
      <c r="B8" s="10" t="s">
        <v>12</v>
      </c>
      <c r="C8" s="11" t="s">
        <v>13</v>
      </c>
      <c r="D8" s="11" t="s">
        <v>14</v>
      </c>
      <c r="E8" s="12" t="s">
        <v>15</v>
      </c>
      <c r="F8" s="13" t="s">
        <v>16</v>
      </c>
      <c r="G8" s="14" t="s">
        <v>17</v>
      </c>
    </row>
    <row r="9" spans="1:9" x14ac:dyDescent="0.25">
      <c r="A9" s="15"/>
      <c r="B9" s="16" t="s">
        <v>18</v>
      </c>
      <c r="C9" s="17" t="s">
        <v>19</v>
      </c>
      <c r="D9" s="18" t="s">
        <v>18</v>
      </c>
      <c r="E9" s="19" t="s">
        <v>18</v>
      </c>
      <c r="F9" s="20" t="s">
        <v>18</v>
      </c>
      <c r="G9" s="21">
        <v>4095.7006999999999</v>
      </c>
    </row>
    <row r="10" spans="1:9" x14ac:dyDescent="0.25">
      <c r="B10" s="22">
        <v>1</v>
      </c>
      <c r="C10" s="23" t="s">
        <v>20</v>
      </c>
      <c r="D10" s="24" t="s">
        <v>21</v>
      </c>
      <c r="E10" s="25">
        <v>1507.31</v>
      </c>
      <c r="F10" s="26">
        <v>1.73</v>
      </c>
      <c r="G10" s="27">
        <v>2607.6462999999999</v>
      </c>
    </row>
    <row r="11" spans="1:9" x14ac:dyDescent="0.25">
      <c r="B11" s="22">
        <v>2</v>
      </c>
      <c r="C11" s="23" t="s">
        <v>22</v>
      </c>
      <c r="D11" s="24" t="s">
        <v>21</v>
      </c>
      <c r="E11" s="25">
        <v>664.31</v>
      </c>
      <c r="F11" s="26">
        <v>2.2400000000000002</v>
      </c>
      <c r="G11" s="27">
        <v>1488.0544</v>
      </c>
    </row>
    <row r="12" spans="1:9" x14ac:dyDescent="0.25">
      <c r="B12" s="22" t="s">
        <v>18</v>
      </c>
      <c r="C12" s="28" t="s">
        <v>23</v>
      </c>
      <c r="D12" s="24" t="s">
        <v>18</v>
      </c>
      <c r="E12" s="25" t="s">
        <v>18</v>
      </c>
      <c r="F12" s="26" t="s">
        <v>18</v>
      </c>
      <c r="G12" s="29">
        <v>379633.46919999999</v>
      </c>
    </row>
    <row r="13" spans="1:9" x14ac:dyDescent="0.25">
      <c r="B13" s="22">
        <v>3</v>
      </c>
      <c r="C13" s="23" t="s">
        <v>24</v>
      </c>
      <c r="D13" s="24" t="s">
        <v>25</v>
      </c>
      <c r="E13" s="25">
        <v>832.17</v>
      </c>
      <c r="F13" s="26">
        <v>10.99</v>
      </c>
      <c r="G13" s="27">
        <v>9145.5483000000004</v>
      </c>
    </row>
    <row r="14" spans="1:9" x14ac:dyDescent="0.25">
      <c r="B14" s="22">
        <v>4</v>
      </c>
      <c r="C14" s="23" t="s">
        <v>26</v>
      </c>
      <c r="D14" s="24" t="s">
        <v>25</v>
      </c>
      <c r="E14" s="25">
        <v>10.5</v>
      </c>
      <c r="F14" s="26">
        <v>9.73</v>
      </c>
      <c r="G14" s="27">
        <v>102.16500000000001</v>
      </c>
    </row>
    <row r="15" spans="1:9" x14ac:dyDescent="0.25">
      <c r="B15" s="22">
        <v>5</v>
      </c>
      <c r="C15" s="23" t="s">
        <v>27</v>
      </c>
      <c r="D15" s="24" t="s">
        <v>25</v>
      </c>
      <c r="E15" s="25">
        <v>28.19</v>
      </c>
      <c r="F15" s="26">
        <v>13.51</v>
      </c>
      <c r="G15" s="27">
        <v>380.84690000000001</v>
      </c>
    </row>
    <row r="16" spans="1:9" x14ac:dyDescent="0.25">
      <c r="B16" s="22">
        <v>6</v>
      </c>
      <c r="C16" s="23" t="s">
        <v>28</v>
      </c>
      <c r="D16" s="24" t="s">
        <v>25</v>
      </c>
      <c r="E16" s="25">
        <v>22.36</v>
      </c>
      <c r="F16" s="26">
        <v>29.59</v>
      </c>
      <c r="G16" s="27">
        <v>661.63239999999996</v>
      </c>
    </row>
    <row r="17" spans="2:7" ht="28.5" x14ac:dyDescent="0.25">
      <c r="B17" s="22">
        <v>7</v>
      </c>
      <c r="C17" s="23" t="s">
        <v>29</v>
      </c>
      <c r="D17" s="24" t="s">
        <v>25</v>
      </c>
      <c r="E17" s="25">
        <v>1387.25</v>
      </c>
      <c r="F17" s="26">
        <v>18.920000000000002</v>
      </c>
      <c r="G17" s="27">
        <v>26246.77</v>
      </c>
    </row>
    <row r="18" spans="2:7" ht="28.5" x14ac:dyDescent="0.25">
      <c r="B18" s="22">
        <v>8</v>
      </c>
      <c r="C18" s="23" t="s">
        <v>30</v>
      </c>
      <c r="D18" s="24" t="s">
        <v>31</v>
      </c>
      <c r="E18" s="25">
        <v>15128.4</v>
      </c>
      <c r="F18" s="26">
        <v>0.25</v>
      </c>
      <c r="G18" s="27">
        <v>3782.1</v>
      </c>
    </row>
    <row r="19" spans="2:7" x14ac:dyDescent="0.25">
      <c r="B19" s="22">
        <v>9</v>
      </c>
      <c r="C19" s="23" t="s">
        <v>32</v>
      </c>
      <c r="D19" s="24" t="s">
        <v>25</v>
      </c>
      <c r="E19" s="25">
        <v>68.5</v>
      </c>
      <c r="F19" s="26">
        <v>266.10000000000002</v>
      </c>
      <c r="G19" s="27">
        <v>18227.849999999999</v>
      </c>
    </row>
    <row r="20" spans="2:7" x14ac:dyDescent="0.25">
      <c r="B20" s="22">
        <v>10</v>
      </c>
      <c r="C20" s="23" t="s">
        <v>33</v>
      </c>
      <c r="D20" s="24" t="s">
        <v>34</v>
      </c>
      <c r="E20" s="25">
        <v>11895.34</v>
      </c>
      <c r="F20" s="26">
        <v>2.44</v>
      </c>
      <c r="G20" s="27">
        <v>29024.6296</v>
      </c>
    </row>
    <row r="21" spans="2:7" ht="28.5" x14ac:dyDescent="0.25">
      <c r="B21" s="22">
        <v>11</v>
      </c>
      <c r="C21" s="23" t="s">
        <v>35</v>
      </c>
      <c r="D21" s="24" t="s">
        <v>34</v>
      </c>
      <c r="E21" s="25">
        <v>47472</v>
      </c>
      <c r="F21" s="26">
        <v>2.64</v>
      </c>
      <c r="G21" s="27">
        <v>125326.08</v>
      </c>
    </row>
    <row r="22" spans="2:7" ht="28.5" x14ac:dyDescent="0.25">
      <c r="B22" s="22">
        <v>12</v>
      </c>
      <c r="C22" s="23" t="s">
        <v>36</v>
      </c>
      <c r="D22" s="24" t="s">
        <v>34</v>
      </c>
      <c r="E22" s="25">
        <v>47472</v>
      </c>
      <c r="F22" s="26">
        <v>1.72</v>
      </c>
      <c r="G22" s="27">
        <v>81651.839999999997</v>
      </c>
    </row>
    <row r="23" spans="2:7" ht="28.5" x14ac:dyDescent="0.25">
      <c r="B23" s="22">
        <v>13</v>
      </c>
      <c r="C23" s="23" t="s">
        <v>37</v>
      </c>
      <c r="D23" s="24" t="s">
        <v>38</v>
      </c>
      <c r="E23" s="25">
        <v>47472</v>
      </c>
      <c r="F23" s="26">
        <v>1.49</v>
      </c>
      <c r="G23" s="27">
        <v>70733.279999999999</v>
      </c>
    </row>
    <row r="24" spans="2:7" x14ac:dyDescent="0.25">
      <c r="B24" s="22">
        <v>14</v>
      </c>
      <c r="C24" s="23" t="s">
        <v>39</v>
      </c>
      <c r="D24" s="24" t="s">
        <v>34</v>
      </c>
      <c r="E24" s="25">
        <v>47472</v>
      </c>
      <c r="F24" s="26">
        <v>0.19</v>
      </c>
      <c r="G24" s="27">
        <v>9019.68</v>
      </c>
    </row>
    <row r="25" spans="2:7" x14ac:dyDescent="0.25">
      <c r="B25" s="22">
        <v>15</v>
      </c>
      <c r="C25" s="23" t="s">
        <v>40</v>
      </c>
      <c r="D25" s="24" t="s">
        <v>25</v>
      </c>
      <c r="E25" s="25">
        <v>55.7</v>
      </c>
      <c r="F25" s="26">
        <v>95.71</v>
      </c>
      <c r="G25" s="27">
        <v>5331.0469999999996</v>
      </c>
    </row>
    <row r="26" spans="2:7" x14ac:dyDescent="0.25">
      <c r="B26" s="22" t="s">
        <v>18</v>
      </c>
      <c r="C26" s="28" t="s">
        <v>41</v>
      </c>
      <c r="D26" s="24" t="s">
        <v>18</v>
      </c>
      <c r="E26" s="25" t="s">
        <v>18</v>
      </c>
      <c r="F26" s="26" t="s">
        <v>18</v>
      </c>
      <c r="G26" s="29">
        <v>2765.4400999999998</v>
      </c>
    </row>
    <row r="27" spans="2:7" ht="28.5" x14ac:dyDescent="0.25">
      <c r="B27" s="22">
        <v>16</v>
      </c>
      <c r="C27" s="23" t="s">
        <v>42</v>
      </c>
      <c r="D27" s="24" t="s">
        <v>43</v>
      </c>
      <c r="E27" s="25">
        <v>2</v>
      </c>
      <c r="F27" s="26">
        <v>178.94</v>
      </c>
      <c r="G27" s="27">
        <v>357.88</v>
      </c>
    </row>
    <row r="28" spans="2:7" ht="28.5" x14ac:dyDescent="0.25">
      <c r="B28" s="22">
        <v>17</v>
      </c>
      <c r="C28" s="23" t="s">
        <v>44</v>
      </c>
      <c r="D28" s="24" t="s">
        <v>43</v>
      </c>
      <c r="E28" s="25">
        <v>2</v>
      </c>
      <c r="F28" s="26">
        <v>181.45</v>
      </c>
      <c r="G28" s="27">
        <v>362.9</v>
      </c>
    </row>
    <row r="29" spans="2:7" ht="28.5" x14ac:dyDescent="0.25">
      <c r="B29" s="22">
        <v>18</v>
      </c>
      <c r="C29" s="23" t="s">
        <v>45</v>
      </c>
      <c r="D29" s="24" t="s">
        <v>46</v>
      </c>
      <c r="E29" s="25">
        <v>200.00040000000001</v>
      </c>
      <c r="F29" s="26">
        <v>0.26</v>
      </c>
      <c r="G29" s="27">
        <v>52.000100000000003</v>
      </c>
    </row>
    <row r="30" spans="2:7" ht="28.5" x14ac:dyDescent="0.25">
      <c r="B30" s="22">
        <v>19</v>
      </c>
      <c r="C30" s="23" t="s">
        <v>47</v>
      </c>
      <c r="D30" s="24" t="s">
        <v>43</v>
      </c>
      <c r="E30" s="25">
        <v>6</v>
      </c>
      <c r="F30" s="26">
        <v>9.32</v>
      </c>
      <c r="G30" s="27">
        <v>55.92</v>
      </c>
    </row>
    <row r="31" spans="2:7" x14ac:dyDescent="0.25">
      <c r="B31" s="22">
        <v>20</v>
      </c>
      <c r="C31" s="23" t="s">
        <v>48</v>
      </c>
      <c r="D31" s="24" t="s">
        <v>43</v>
      </c>
      <c r="E31" s="25">
        <v>4</v>
      </c>
      <c r="F31" s="26">
        <v>21.88</v>
      </c>
      <c r="G31" s="27">
        <v>87.52</v>
      </c>
    </row>
    <row r="32" spans="2:7" x14ac:dyDescent="0.25">
      <c r="B32" s="22">
        <v>21</v>
      </c>
      <c r="C32" s="23" t="s">
        <v>49</v>
      </c>
      <c r="D32" s="24" t="s">
        <v>43</v>
      </c>
      <c r="E32" s="25">
        <v>2</v>
      </c>
      <c r="F32" s="26">
        <v>14.42</v>
      </c>
      <c r="G32" s="27">
        <v>28.84</v>
      </c>
    </row>
    <row r="33" spans="1:254" x14ac:dyDescent="0.25">
      <c r="B33" s="22">
        <v>22</v>
      </c>
      <c r="C33" s="23" t="s">
        <v>50</v>
      </c>
      <c r="D33" s="24" t="s">
        <v>43</v>
      </c>
      <c r="E33" s="25">
        <v>1</v>
      </c>
      <c r="F33" s="26">
        <v>349.64</v>
      </c>
      <c r="G33" s="27">
        <v>349.64</v>
      </c>
    </row>
    <row r="34" spans="1:254" ht="42.75" x14ac:dyDescent="0.25">
      <c r="B34" s="22">
        <v>23</v>
      </c>
      <c r="C34" s="23" t="s">
        <v>51</v>
      </c>
      <c r="D34" s="24" t="s">
        <v>43</v>
      </c>
      <c r="E34" s="25">
        <v>1</v>
      </c>
      <c r="F34" s="26">
        <v>1470.74</v>
      </c>
      <c r="G34" s="27">
        <v>1470.74</v>
      </c>
    </row>
    <row r="35" spans="1:254" x14ac:dyDescent="0.25">
      <c r="B35" s="183" t="s">
        <v>52</v>
      </c>
      <c r="C35" s="184"/>
      <c r="D35" s="184"/>
      <c r="E35" s="184"/>
      <c r="F35" s="30"/>
      <c r="G35" s="31">
        <v>386494.61</v>
      </c>
    </row>
    <row r="36" spans="1:254" x14ac:dyDescent="0.25">
      <c r="B36" s="185" t="s">
        <v>53</v>
      </c>
      <c r="C36" s="186"/>
      <c r="D36" s="186"/>
      <c r="E36" s="186"/>
      <c r="F36" s="32" t="s">
        <v>54</v>
      </c>
      <c r="G36" s="33">
        <v>57974.191500000001</v>
      </c>
    </row>
    <row r="37" spans="1:254" x14ac:dyDescent="0.25">
      <c r="B37" s="187" t="s">
        <v>55</v>
      </c>
      <c r="C37" s="188"/>
      <c r="D37" s="188"/>
      <c r="E37" s="188"/>
      <c r="F37" s="34"/>
      <c r="G37" s="35">
        <v>444468.8015</v>
      </c>
    </row>
    <row r="38" spans="1:254" x14ac:dyDescent="0.25">
      <c r="B38" s="36"/>
      <c r="C38" s="37"/>
      <c r="D38" s="38"/>
      <c r="E38" s="39"/>
      <c r="F38" s="39"/>
      <c r="G38" s="40"/>
    </row>
    <row r="39" spans="1:254" x14ac:dyDescent="0.25">
      <c r="B39" s="41" t="s">
        <v>56</v>
      </c>
      <c r="C39" s="181" t="s">
        <v>57</v>
      </c>
      <c r="D39" s="181"/>
      <c r="E39" s="181"/>
      <c r="F39" s="181"/>
      <c r="G39" s="182"/>
    </row>
    <row r="40" spans="1:254" x14ac:dyDescent="0.25">
      <c r="B40" s="42"/>
      <c r="C40" s="181" t="s">
        <v>57</v>
      </c>
      <c r="D40" s="181"/>
      <c r="E40" s="181"/>
      <c r="F40" s="181"/>
      <c r="G40" s="182"/>
    </row>
    <row r="41" spans="1:254" s="1" customFormat="1" ht="14.25" x14ac:dyDescent="0.25">
      <c r="A41" s="2"/>
      <c r="B41" s="43"/>
      <c r="C41" s="44"/>
      <c r="D41" s="44"/>
      <c r="E41" s="44"/>
      <c r="F41" s="44"/>
      <c r="G41" s="4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2"/>
      <c r="IS41" s="2"/>
      <c r="IT41" s="2"/>
    </row>
    <row r="42" spans="1:254" s="1" customFormat="1" ht="14.25" x14ac:dyDescent="0.25">
      <c r="A42" s="2"/>
      <c r="B42" s="46" t="s">
        <v>58</v>
      </c>
      <c r="C42" s="47"/>
      <c r="D42" s="47"/>
      <c r="E42" s="48" t="s">
        <v>59</v>
      </c>
      <c r="F42" s="49"/>
      <c r="G42" s="5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2"/>
      <c r="IS42" s="2"/>
      <c r="IT42" s="2"/>
    </row>
    <row r="43" spans="1:254" s="1" customFormat="1" ht="14.25" x14ac:dyDescent="0.25">
      <c r="A43" s="2"/>
      <c r="B43" s="51"/>
      <c r="C43" s="47"/>
      <c r="D43" s="47"/>
      <c r="E43" s="52"/>
      <c r="F43" s="49"/>
      <c r="G43" s="5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2"/>
      <c r="IS43" s="2"/>
      <c r="IT43" s="2"/>
    </row>
    <row r="44" spans="1:254" s="1" customFormat="1" ht="14.25" x14ac:dyDescent="0.25">
      <c r="A44" s="2"/>
      <c r="B44" s="51"/>
      <c r="C44" s="47"/>
      <c r="D44" s="47"/>
      <c r="E44" s="52"/>
      <c r="F44" s="49"/>
      <c r="G44" s="5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2"/>
      <c r="IS44" s="2"/>
      <c r="IT44" s="2"/>
    </row>
    <row r="45" spans="1:254" s="1" customFormat="1" ht="14.25" x14ac:dyDescent="0.25">
      <c r="A45" s="2"/>
      <c r="B45" s="51"/>
      <c r="C45" s="47"/>
      <c r="D45" s="47"/>
      <c r="E45" s="52"/>
      <c r="F45" s="49"/>
      <c r="G45" s="5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2"/>
      <c r="IS45" s="2"/>
      <c r="IT45" s="2"/>
    </row>
    <row r="46" spans="1:254" s="1" customFormat="1" ht="18" x14ac:dyDescent="0.25">
      <c r="A46" s="2"/>
      <c r="B46" s="53"/>
      <c r="C46" s="54"/>
      <c r="D46" s="54"/>
      <c r="E46" s="55"/>
      <c r="F46" s="54"/>
      <c r="G46" s="5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2"/>
      <c r="IS46" s="2"/>
      <c r="IT46" s="2"/>
    </row>
    <row r="47" spans="1:254" s="1" customFormat="1" ht="14.25" x14ac:dyDescent="0.25">
      <c r="A47" s="2"/>
      <c r="B47" s="192" t="s">
        <v>60</v>
      </c>
      <c r="C47" s="178"/>
      <c r="D47" s="178" t="s">
        <v>61</v>
      </c>
      <c r="E47" s="178"/>
      <c r="F47" s="178"/>
      <c r="G47" s="17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2"/>
      <c r="IS47" s="2"/>
      <c r="IT47" s="2"/>
    </row>
    <row r="48" spans="1:254" s="1" customFormat="1" ht="14.25" customHeight="1" x14ac:dyDescent="0.25">
      <c r="A48" s="2"/>
      <c r="B48" s="177" t="s">
        <v>62</v>
      </c>
      <c r="C48" s="175"/>
      <c r="D48" s="175" t="s">
        <v>63</v>
      </c>
      <c r="E48" s="175"/>
      <c r="F48" s="175"/>
      <c r="G48" s="17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2"/>
      <c r="IS48" s="2"/>
      <c r="IT48" s="2"/>
    </row>
    <row r="49" spans="1:254" s="1" customFormat="1" ht="14.25" customHeight="1" x14ac:dyDescent="0.25">
      <c r="A49" s="2"/>
      <c r="B49" s="56"/>
      <c r="C49" s="57"/>
      <c r="D49" s="57"/>
      <c r="E49" s="57"/>
      <c r="F49" s="57"/>
      <c r="G49" s="5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2"/>
      <c r="IS49" s="2"/>
      <c r="IT49" s="2"/>
    </row>
    <row r="50" spans="1:254" s="1" customFormat="1" ht="14.25" customHeight="1" x14ac:dyDescent="0.25">
      <c r="A50" s="2"/>
      <c r="B50" s="56"/>
      <c r="C50" s="57"/>
      <c r="D50" s="57"/>
      <c r="E50" s="57"/>
      <c r="F50" s="57"/>
      <c r="G50" s="5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2"/>
      <c r="IS50" s="2"/>
      <c r="IT50" s="2"/>
    </row>
    <row r="51" spans="1:254" s="1" customFormat="1" ht="20.25" customHeight="1" x14ac:dyDescent="0.25">
      <c r="A51" s="2"/>
      <c r="B51" s="59" t="s">
        <v>64</v>
      </c>
      <c r="C51" s="60"/>
      <c r="D51" s="60"/>
      <c r="E51" s="61" t="s">
        <v>65</v>
      </c>
      <c r="F51" s="60"/>
      <c r="G51" s="6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2"/>
      <c r="IS51" s="2"/>
      <c r="IT51" s="2"/>
    </row>
    <row r="52" spans="1:254" s="1" customFormat="1" ht="14.25" x14ac:dyDescent="0.25">
      <c r="A52" s="63"/>
      <c r="B52" s="47"/>
      <c r="C52" s="180"/>
      <c r="D52" s="180"/>
      <c r="E52" s="180"/>
      <c r="F52" s="49"/>
      <c r="G52" s="5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2"/>
      <c r="IS52" s="2"/>
      <c r="IT52" s="2"/>
    </row>
    <row r="53" spans="1:254" s="1" customFormat="1" ht="14.25" x14ac:dyDescent="0.25">
      <c r="A53" s="63"/>
      <c r="B53" s="52" t="s">
        <v>66</v>
      </c>
      <c r="C53" s="47"/>
      <c r="D53" s="47"/>
      <c r="E53" s="52"/>
      <c r="F53" s="49"/>
      <c r="G53" s="5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2"/>
      <c r="IS53" s="2"/>
      <c r="IT53" s="2"/>
    </row>
    <row r="54" spans="1:254" s="1" customFormat="1" ht="14.25" x14ac:dyDescent="0.25">
      <c r="A54" s="63"/>
      <c r="B54" s="52"/>
      <c r="C54" s="47"/>
      <c r="D54" s="190"/>
      <c r="E54" s="190"/>
      <c r="F54" s="190"/>
      <c r="G54" s="19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2"/>
      <c r="IS54" s="2"/>
      <c r="IT54" s="2"/>
    </row>
    <row r="55" spans="1:254" s="1" customFormat="1" ht="14.25" x14ac:dyDescent="0.25">
      <c r="A55" s="63"/>
      <c r="B55" s="52"/>
      <c r="C55" s="47"/>
      <c r="D55" s="64"/>
      <c r="E55" s="64"/>
      <c r="F55" s="64"/>
      <c r="G55" s="6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2"/>
      <c r="IS55" s="2"/>
      <c r="IT55" s="2"/>
    </row>
    <row r="56" spans="1:254" s="1" customFormat="1" ht="14.25" x14ac:dyDescent="0.25">
      <c r="A56" s="63"/>
      <c r="B56" s="178" t="s">
        <v>67</v>
      </c>
      <c r="C56" s="178"/>
      <c r="D56" s="178" t="s">
        <v>68</v>
      </c>
      <c r="E56" s="178"/>
      <c r="F56" s="178"/>
      <c r="G56" s="18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2"/>
      <c r="IS56" s="2"/>
      <c r="IT56" s="2"/>
    </row>
    <row r="57" spans="1:254" s="1" customFormat="1" ht="14.25" x14ac:dyDescent="0.25">
      <c r="A57" s="63"/>
      <c r="B57" s="174" t="s">
        <v>69</v>
      </c>
      <c r="C57" s="174"/>
      <c r="D57" s="174" t="s">
        <v>70</v>
      </c>
      <c r="E57" s="174"/>
      <c r="F57" s="174"/>
      <c r="G57" s="19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2"/>
      <c r="IS57" s="2"/>
      <c r="IT57" s="2"/>
    </row>
    <row r="58" spans="1:254" s="1" customFormat="1" ht="14.25" x14ac:dyDescent="0.25">
      <c r="A58" s="63"/>
      <c r="B58" s="66"/>
      <c r="C58" s="66"/>
      <c r="D58" s="66"/>
      <c r="E58" s="66"/>
      <c r="F58" s="66"/>
      <c r="G58" s="6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2"/>
      <c r="IS58" s="2"/>
      <c r="IT58" s="2"/>
    </row>
    <row r="59" spans="1:254" s="1" customFormat="1" ht="15" customHeight="1" x14ac:dyDescent="0.25">
      <c r="A59" s="2"/>
      <c r="B59" s="68"/>
      <c r="C59" s="69"/>
      <c r="D59" s="69"/>
      <c r="E59" s="69"/>
      <c r="F59" s="70"/>
      <c r="G59" s="7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2"/>
      <c r="IS59" s="2"/>
      <c r="IT59" s="2"/>
    </row>
  </sheetData>
  <sheetProtection formatCells="0" formatColumns="0" formatRows="0" insertColumns="0" insertRows="0" insertHyperlinks="0" deleteColumns="0" deleteRows="0" sort="0" autoFilter="0" pivotTables="0"/>
  <mergeCells count="20">
    <mergeCell ref="B7:G7"/>
    <mergeCell ref="B1:G1"/>
    <mergeCell ref="B2:G2"/>
    <mergeCell ref="C3:G3"/>
    <mergeCell ref="C4:F4"/>
    <mergeCell ref="C5:E5"/>
    <mergeCell ref="C39:G40"/>
    <mergeCell ref="B35:E35"/>
    <mergeCell ref="B36:E36"/>
    <mergeCell ref="B37:E37"/>
    <mergeCell ref="D56:G56"/>
    <mergeCell ref="D54:G54"/>
    <mergeCell ref="B56:C56"/>
    <mergeCell ref="B47:C47"/>
    <mergeCell ref="B57:C57"/>
    <mergeCell ref="D48:G48"/>
    <mergeCell ref="B48:C48"/>
    <mergeCell ref="D47:G47"/>
    <mergeCell ref="C52:E52"/>
    <mergeCell ref="D57:G57"/>
  </mergeCells>
  <printOptions horizontalCentered="1"/>
  <pageMargins left="0.1965278" right="0.1965278" top="0.39374999999999999" bottom="0.39374999999999999" header="0" footer="0"/>
  <pageSetup paperSize="9" scale="80" orientation="portrait" errors="blank" r:id="rId1"/>
  <headerFooter alignWithMargins="0">
    <oddHeader>&amp;R
Pág. &amp;P de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9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74</v>
      </c>
    </row>
    <row r="6" spans="1:17" x14ac:dyDescent="0.3">
      <c r="B6" s="82" t="s">
        <v>75</v>
      </c>
      <c r="C6" s="83" t="s">
        <v>20</v>
      </c>
      <c r="D6" s="79"/>
      <c r="E6" s="80"/>
      <c r="F6" s="80"/>
      <c r="G6" s="84" t="s">
        <v>14</v>
      </c>
      <c r="H6" s="85" t="s">
        <v>21</v>
      </c>
    </row>
    <row r="7" spans="1:17" x14ac:dyDescent="0.3">
      <c r="B7" s="86" t="s">
        <v>76</v>
      </c>
      <c r="C7" s="79" t="s">
        <v>77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7.0000000000000007E-2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7.0000000000000007E-2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2</v>
      </c>
      <c r="E16" s="97">
        <v>4.34</v>
      </c>
      <c r="F16" s="97">
        <f>IF(ISNUMBER(D16),D16*E16,)</f>
        <v>8.68</v>
      </c>
      <c r="G16" s="97">
        <v>0.15</v>
      </c>
      <c r="H16" s="98">
        <v>1.3</v>
      </c>
    </row>
    <row r="17" spans="2:8" ht="18" customHeight="1" x14ac:dyDescent="0.3">
      <c r="B17" s="248" t="s">
        <v>90</v>
      </c>
      <c r="C17" s="249"/>
      <c r="D17" s="111">
        <v>0.1</v>
      </c>
      <c r="E17" s="112">
        <v>4.87</v>
      </c>
      <c r="F17" s="111">
        <f>IF(ISNUMBER(D17),D17*E17,)</f>
        <v>0.48700000000000004</v>
      </c>
      <c r="G17" s="111">
        <v>0.15</v>
      </c>
      <c r="H17" s="113">
        <v>7.0000000000000007E-2</v>
      </c>
    </row>
    <row r="18" spans="2:8" ht="18" customHeight="1" x14ac:dyDescent="0.3">
      <c r="B18" s="235"/>
      <c r="C18" s="236"/>
      <c r="D18" s="99"/>
      <c r="E18" s="114"/>
      <c r="F18" s="99"/>
      <c r="G18" s="99"/>
      <c r="H18" s="101"/>
    </row>
    <row r="19" spans="2:8" ht="18" customHeight="1" x14ac:dyDescent="0.3">
      <c r="B19" s="210" t="s">
        <v>91</v>
      </c>
      <c r="C19" s="211"/>
      <c r="D19" s="212"/>
      <c r="E19" s="212"/>
      <c r="F19" s="212"/>
      <c r="G19" s="213"/>
      <c r="H19" s="102">
        <v>1.37</v>
      </c>
    </row>
    <row r="20" spans="2:8" ht="18" customHeight="1" x14ac:dyDescent="0.3">
      <c r="B20" s="115"/>
      <c r="C20" s="116"/>
      <c r="D20" s="116"/>
      <c r="E20" s="116"/>
      <c r="F20" s="116"/>
      <c r="G20" s="116"/>
      <c r="H20" s="117"/>
    </row>
    <row r="21" spans="2:8" ht="18" customHeight="1" x14ac:dyDescent="0.3">
      <c r="B21" s="225" t="s">
        <v>92</v>
      </c>
      <c r="C21" s="226"/>
      <c r="D21" s="227"/>
      <c r="E21" s="227"/>
      <c r="F21" s="227"/>
      <c r="G21" s="227"/>
      <c r="H21" s="228"/>
    </row>
    <row r="22" spans="2:8" ht="20.25" customHeight="1" x14ac:dyDescent="0.3">
      <c r="B22" s="222" t="s">
        <v>13</v>
      </c>
      <c r="C22" s="223"/>
      <c r="D22" s="224"/>
      <c r="E22" s="118" t="s">
        <v>14</v>
      </c>
      <c r="F22" s="90" t="s">
        <v>79</v>
      </c>
      <c r="G22" s="91" t="s">
        <v>93</v>
      </c>
      <c r="H22" s="92" t="s">
        <v>94</v>
      </c>
    </row>
    <row r="23" spans="2:8" ht="18" customHeight="1" x14ac:dyDescent="0.3">
      <c r="B23" s="219"/>
      <c r="C23" s="220"/>
      <c r="D23" s="221"/>
      <c r="E23" s="119"/>
      <c r="F23" s="120"/>
      <c r="G23" s="120"/>
      <c r="H23" s="121"/>
    </row>
    <row r="24" spans="2:8" ht="18" customHeight="1" x14ac:dyDescent="0.3">
      <c r="B24" s="216"/>
      <c r="C24" s="217"/>
      <c r="D24" s="218"/>
      <c r="E24" s="122"/>
      <c r="F24" s="114"/>
      <c r="G24" s="114"/>
      <c r="H24" s="101"/>
    </row>
    <row r="25" spans="2:8" ht="18" customHeight="1" x14ac:dyDescent="0.3">
      <c r="B25" s="210" t="s">
        <v>95</v>
      </c>
      <c r="C25" s="211"/>
      <c r="D25" s="212"/>
      <c r="E25" s="212"/>
      <c r="F25" s="212"/>
      <c r="G25" s="213"/>
      <c r="H25" s="102">
        <v>0</v>
      </c>
    </row>
    <row r="26" spans="2:8" ht="18" customHeight="1" x14ac:dyDescent="0.3">
      <c r="B26" s="103"/>
      <c r="C26" s="104"/>
      <c r="D26" s="77"/>
      <c r="E26" s="105"/>
      <c r="F26" s="106"/>
      <c r="G26" s="105"/>
      <c r="H26" s="107"/>
    </row>
    <row r="27" spans="2:8" ht="18" customHeight="1" x14ac:dyDescent="0.3">
      <c r="B27" s="225" t="s">
        <v>96</v>
      </c>
      <c r="C27" s="226"/>
      <c r="D27" s="227"/>
      <c r="E27" s="227"/>
      <c r="F27" s="227"/>
      <c r="G27" s="227"/>
      <c r="H27" s="228"/>
    </row>
    <row r="28" spans="2:8" ht="22.5" customHeight="1" x14ac:dyDescent="0.3">
      <c r="B28" s="214" t="s">
        <v>13</v>
      </c>
      <c r="C28" s="215"/>
      <c r="D28" s="123" t="s">
        <v>14</v>
      </c>
      <c r="E28" s="124" t="s">
        <v>79</v>
      </c>
      <c r="F28" s="124" t="s">
        <v>97</v>
      </c>
      <c r="G28" s="124" t="s">
        <v>98</v>
      </c>
      <c r="H28" s="125" t="s">
        <v>99</v>
      </c>
    </row>
    <row r="29" spans="2:8" ht="18" customHeight="1" x14ac:dyDescent="0.3">
      <c r="B29" s="229"/>
      <c r="C29" s="230"/>
      <c r="D29" s="126"/>
      <c r="E29" s="127"/>
      <c r="F29" s="128"/>
      <c r="G29" s="128"/>
      <c r="H29" s="121"/>
    </row>
    <row r="30" spans="2:8" ht="18" customHeight="1" x14ac:dyDescent="0.3">
      <c r="B30" s="231"/>
      <c r="C30" s="232"/>
      <c r="D30" s="129"/>
      <c r="E30" s="130"/>
      <c r="F30" s="131"/>
      <c r="G30" s="131"/>
      <c r="H30" s="101"/>
    </row>
    <row r="31" spans="2:8" ht="18" customHeight="1" x14ac:dyDescent="0.3">
      <c r="B31" s="210" t="s">
        <v>100</v>
      </c>
      <c r="C31" s="211"/>
      <c r="D31" s="212"/>
      <c r="E31" s="212"/>
      <c r="F31" s="212"/>
      <c r="G31" s="213"/>
      <c r="H31" s="102">
        <v>0</v>
      </c>
    </row>
    <row r="32" spans="2:8" ht="16.5" thickBot="1" x14ac:dyDescent="0.35">
      <c r="B32" s="132" t="s">
        <v>101</v>
      </c>
      <c r="C32" s="104"/>
      <c r="D32" s="104"/>
      <c r="E32" s="104"/>
      <c r="F32" s="104"/>
      <c r="G32" s="104"/>
      <c r="H32" s="133"/>
    </row>
    <row r="33" spans="1:17" x14ac:dyDescent="0.3">
      <c r="A33" s="88"/>
      <c r="B33" s="115"/>
      <c r="C33" s="116"/>
      <c r="D33" s="134"/>
      <c r="E33" s="135" t="s">
        <v>102</v>
      </c>
      <c r="F33" s="136"/>
      <c r="G33" s="136"/>
      <c r="H33" s="137">
        <f>ROUND(H12+H19+H25+H31,4)</f>
        <v>1.44</v>
      </c>
      <c r="I33" s="89"/>
      <c r="L33" s="138"/>
      <c r="M33" s="138"/>
      <c r="N33" s="138"/>
      <c r="O33" s="138"/>
      <c r="P33" s="138"/>
      <c r="Q33" s="138"/>
    </row>
    <row r="34" spans="1:17" x14ac:dyDescent="0.3">
      <c r="A34" s="88"/>
      <c r="B34" s="139"/>
      <c r="C34" s="140"/>
      <c r="D34" s="140"/>
      <c r="E34" s="141" t="s">
        <v>103</v>
      </c>
      <c r="F34" s="142"/>
      <c r="G34" s="142" t="s">
        <v>104</v>
      </c>
      <c r="H34" s="143">
        <f>ROUND(G34*H33,2)</f>
        <v>0.28999999999999998</v>
      </c>
      <c r="I34" s="89"/>
      <c r="L34" s="144"/>
      <c r="M34" s="144"/>
      <c r="N34" s="144"/>
      <c r="O34" s="144"/>
      <c r="P34" s="144"/>
      <c r="Q34" s="144"/>
    </row>
    <row r="35" spans="1:17" x14ac:dyDescent="0.3">
      <c r="A35" s="88"/>
      <c r="B35" s="145"/>
      <c r="C35" s="146"/>
      <c r="D35" s="77"/>
      <c r="E35" s="147" t="s">
        <v>105</v>
      </c>
      <c r="F35" s="148"/>
      <c r="G35" s="148"/>
      <c r="H35" s="149"/>
      <c r="I35" s="89"/>
    </row>
    <row r="36" spans="1:17" ht="16.5" thickBot="1" x14ac:dyDescent="0.35">
      <c r="A36" s="88"/>
      <c r="B36" s="208" t="s">
        <v>60</v>
      </c>
      <c r="C36" s="209"/>
      <c r="D36" s="209"/>
      <c r="E36" s="150" t="s">
        <v>106</v>
      </c>
      <c r="F36" s="151"/>
      <c r="G36" s="152"/>
      <c r="H36" s="153">
        <f>H33+H34</f>
        <v>1.73</v>
      </c>
      <c r="I36" s="89"/>
    </row>
    <row r="37" spans="1:17" ht="16.5" thickBot="1" x14ac:dyDescent="0.35">
      <c r="A37" s="88"/>
      <c r="B37" s="206" t="s">
        <v>62</v>
      </c>
      <c r="C37" s="207"/>
      <c r="D37" s="207"/>
      <c r="E37" s="154" t="s">
        <v>107</v>
      </c>
      <c r="F37" s="155"/>
      <c r="G37" s="155"/>
      <c r="H37" s="156">
        <f>ROUND(H36,2)</f>
        <v>1.73</v>
      </c>
      <c r="I37" s="89"/>
    </row>
    <row r="38" spans="1:17" x14ac:dyDescent="0.3">
      <c r="B38" s="157"/>
      <c r="C38" s="157"/>
      <c r="D38" s="158"/>
      <c r="E38" s="159"/>
      <c r="F38" s="160"/>
      <c r="G38" s="159"/>
      <c r="H38" s="159"/>
    </row>
    <row r="39" spans="1:17" x14ac:dyDescent="0.3">
      <c r="B39" s="161"/>
      <c r="C39" s="161"/>
      <c r="D39" s="162"/>
      <c r="E39" s="163"/>
      <c r="F39" s="163"/>
      <c r="G39" s="163"/>
      <c r="H39" s="163"/>
    </row>
  </sheetData>
  <sheetProtection formatCells="0" formatColumns="0" formatRows="0" insertColumns="0" insertRows="0" insertHyperlinks="0" deleteColumns="0" deleteRows="0" sort="0" autoFilter="0" pivotTables="0"/>
  <mergeCells count="26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1:H21"/>
    <mergeCell ref="B19:G19"/>
    <mergeCell ref="B16:C16"/>
    <mergeCell ref="B18:C18"/>
    <mergeCell ref="B15:C15"/>
    <mergeCell ref="B17:C17"/>
    <mergeCell ref="B23:D23"/>
    <mergeCell ref="B22:D22"/>
    <mergeCell ref="B27:H27"/>
    <mergeCell ref="B29:C29"/>
    <mergeCell ref="B30:C30"/>
    <mergeCell ref="B37:D37"/>
    <mergeCell ref="B36:D36"/>
    <mergeCell ref="B31:G31"/>
    <mergeCell ref="B28:C28"/>
    <mergeCell ref="B24:D24"/>
    <mergeCell ref="B25:G25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2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108</v>
      </c>
    </row>
    <row r="6" spans="1:17" x14ac:dyDescent="0.3">
      <c r="B6" s="82" t="s">
        <v>75</v>
      </c>
      <c r="C6" s="83" t="s">
        <v>22</v>
      </c>
      <c r="D6" s="79"/>
      <c r="E6" s="80"/>
      <c r="F6" s="80"/>
      <c r="G6" s="84" t="s">
        <v>14</v>
      </c>
      <c r="H6" s="85" t="s">
        <v>21</v>
      </c>
    </row>
    <row r="7" spans="1:17" x14ac:dyDescent="0.3">
      <c r="B7" s="86" t="s">
        <v>76</v>
      </c>
      <c r="C7" s="79" t="s">
        <v>109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0.01</v>
      </c>
    </row>
    <row r="11" spans="1:17" ht="18" customHeight="1" x14ac:dyDescent="0.3">
      <c r="B11" s="248" t="s">
        <v>110</v>
      </c>
      <c r="C11" s="220"/>
      <c r="D11" s="111">
        <v>1</v>
      </c>
      <c r="E11" s="111">
        <v>5</v>
      </c>
      <c r="F11" s="111">
        <f>IF(ISNUMBER(D11),D11*E11,)</f>
        <v>5</v>
      </c>
      <c r="G11" s="111">
        <v>1.4999999999999999E-2</v>
      </c>
      <c r="H11" s="113">
        <v>0.08</v>
      </c>
    </row>
    <row r="12" spans="1:17" ht="18" customHeight="1" x14ac:dyDescent="0.3">
      <c r="B12" s="235"/>
      <c r="C12" s="236"/>
      <c r="D12" s="99"/>
      <c r="E12" s="99"/>
      <c r="F12" s="99"/>
      <c r="G12" s="100"/>
      <c r="H12" s="101"/>
    </row>
    <row r="13" spans="1:17" ht="18" customHeight="1" x14ac:dyDescent="0.3">
      <c r="B13" s="210" t="s">
        <v>86</v>
      </c>
      <c r="C13" s="211"/>
      <c r="D13" s="212"/>
      <c r="E13" s="212"/>
      <c r="F13" s="212"/>
      <c r="G13" s="213"/>
      <c r="H13" s="102">
        <v>0.09</v>
      </c>
    </row>
    <row r="14" spans="1:17" ht="18" customHeight="1" x14ac:dyDescent="0.3">
      <c r="B14" s="103"/>
      <c r="C14" s="104"/>
      <c r="D14" s="77"/>
      <c r="E14" s="105"/>
      <c r="F14" s="106"/>
      <c r="G14" s="105"/>
      <c r="H14" s="107"/>
    </row>
    <row r="15" spans="1:17" ht="18" customHeight="1" x14ac:dyDescent="0.3">
      <c r="B15" s="225" t="s">
        <v>87</v>
      </c>
      <c r="C15" s="226"/>
      <c r="D15" s="227"/>
      <c r="E15" s="227"/>
      <c r="F15" s="227"/>
      <c r="G15" s="227"/>
      <c r="H15" s="228"/>
    </row>
    <row r="16" spans="1:17" ht="20.25" customHeight="1" x14ac:dyDescent="0.3">
      <c r="B16" s="214" t="s">
        <v>13</v>
      </c>
      <c r="C16" s="215"/>
      <c r="D16" s="108" t="s">
        <v>79</v>
      </c>
      <c r="E16" s="91" t="s">
        <v>88</v>
      </c>
      <c r="F16" s="109" t="s">
        <v>81</v>
      </c>
      <c r="G16" s="108" t="s">
        <v>82</v>
      </c>
      <c r="H16" s="110" t="s">
        <v>83</v>
      </c>
    </row>
    <row r="17" spans="2:8" ht="18" customHeight="1" x14ac:dyDescent="0.3">
      <c r="B17" s="233" t="s">
        <v>111</v>
      </c>
      <c r="C17" s="234"/>
      <c r="D17" s="97">
        <v>1</v>
      </c>
      <c r="E17" s="97">
        <v>4.87</v>
      </c>
      <c r="F17" s="97">
        <f>IF(ISNUMBER(D17),D17*E17,)</f>
        <v>4.87</v>
      </c>
      <c r="G17" s="97">
        <v>1.4999999999999999E-2</v>
      </c>
      <c r="H17" s="98">
        <v>7.0000000000000007E-2</v>
      </c>
    </row>
    <row r="18" spans="2:8" ht="18" customHeight="1" x14ac:dyDescent="0.3">
      <c r="B18" s="248" t="s">
        <v>112</v>
      </c>
      <c r="C18" s="249"/>
      <c r="D18" s="111">
        <v>1</v>
      </c>
      <c r="E18" s="112">
        <v>4.3899999999999997</v>
      </c>
      <c r="F18" s="111">
        <f>IF(ISNUMBER(D18),D18*E18,)</f>
        <v>4.3899999999999997</v>
      </c>
      <c r="G18" s="111">
        <v>1.4999999999999999E-2</v>
      </c>
      <c r="H18" s="113">
        <v>7.0000000000000007E-2</v>
      </c>
    </row>
    <row r="19" spans="2:8" ht="18" customHeight="1" x14ac:dyDescent="0.3">
      <c r="B19" s="235"/>
      <c r="C19" s="236"/>
      <c r="D19" s="99"/>
      <c r="E19" s="114"/>
      <c r="F19" s="99"/>
      <c r="G19" s="99"/>
      <c r="H19" s="101"/>
    </row>
    <row r="20" spans="2:8" ht="18" customHeight="1" x14ac:dyDescent="0.3">
      <c r="B20" s="210" t="s">
        <v>91</v>
      </c>
      <c r="C20" s="211"/>
      <c r="D20" s="212"/>
      <c r="E20" s="212"/>
      <c r="F20" s="212"/>
      <c r="G20" s="213"/>
      <c r="H20" s="102">
        <v>0.14000000000000001</v>
      </c>
    </row>
    <row r="21" spans="2:8" ht="18" customHeight="1" x14ac:dyDescent="0.3">
      <c r="B21" s="115"/>
      <c r="C21" s="116"/>
      <c r="D21" s="116"/>
      <c r="E21" s="116"/>
      <c r="F21" s="116"/>
      <c r="G21" s="116"/>
      <c r="H21" s="117"/>
    </row>
    <row r="22" spans="2:8" ht="18" customHeight="1" x14ac:dyDescent="0.3">
      <c r="B22" s="225" t="s">
        <v>92</v>
      </c>
      <c r="C22" s="226"/>
      <c r="D22" s="227"/>
      <c r="E22" s="227"/>
      <c r="F22" s="227"/>
      <c r="G22" s="227"/>
      <c r="H22" s="228"/>
    </row>
    <row r="23" spans="2:8" ht="20.25" customHeight="1" x14ac:dyDescent="0.3">
      <c r="B23" s="222" t="s">
        <v>13</v>
      </c>
      <c r="C23" s="223"/>
      <c r="D23" s="224"/>
      <c r="E23" s="118" t="s">
        <v>14</v>
      </c>
      <c r="F23" s="90" t="s">
        <v>79</v>
      </c>
      <c r="G23" s="91" t="s">
        <v>93</v>
      </c>
      <c r="H23" s="92" t="s">
        <v>94</v>
      </c>
    </row>
    <row r="24" spans="2:8" ht="18" customHeight="1" x14ac:dyDescent="0.3">
      <c r="B24" s="250" t="s">
        <v>113</v>
      </c>
      <c r="C24" s="245"/>
      <c r="D24" s="251"/>
      <c r="E24" s="164" t="s">
        <v>114</v>
      </c>
      <c r="F24" s="165">
        <v>2</v>
      </c>
      <c r="G24" s="165">
        <v>0.65</v>
      </c>
      <c r="H24" s="98">
        <v>1.3</v>
      </c>
    </row>
    <row r="25" spans="2:8" ht="18" customHeight="1" x14ac:dyDescent="0.3">
      <c r="B25" s="219" t="s">
        <v>115</v>
      </c>
      <c r="C25" s="220"/>
      <c r="D25" s="221"/>
      <c r="E25" s="166" t="s">
        <v>34</v>
      </c>
      <c r="F25" s="167">
        <v>0.1</v>
      </c>
      <c r="G25" s="167">
        <v>1.62</v>
      </c>
      <c r="H25" s="113">
        <v>0.16</v>
      </c>
    </row>
    <row r="26" spans="2:8" ht="18" customHeight="1" x14ac:dyDescent="0.3">
      <c r="B26" s="219" t="s">
        <v>116</v>
      </c>
      <c r="C26" s="220"/>
      <c r="D26" s="221"/>
      <c r="E26" s="166" t="s">
        <v>117</v>
      </c>
      <c r="F26" s="167">
        <v>1.2E-2</v>
      </c>
      <c r="G26" s="167">
        <v>15</v>
      </c>
      <c r="H26" s="113">
        <v>0.18</v>
      </c>
    </row>
    <row r="27" spans="2:8" ht="18" customHeight="1" x14ac:dyDescent="0.3">
      <c r="B27" s="216"/>
      <c r="C27" s="217"/>
      <c r="D27" s="218"/>
      <c r="E27" s="122"/>
      <c r="F27" s="114"/>
      <c r="G27" s="114"/>
      <c r="H27" s="101"/>
    </row>
    <row r="28" spans="2:8" ht="18" customHeight="1" x14ac:dyDescent="0.3">
      <c r="B28" s="210" t="s">
        <v>95</v>
      </c>
      <c r="C28" s="211"/>
      <c r="D28" s="212"/>
      <c r="E28" s="212"/>
      <c r="F28" s="212"/>
      <c r="G28" s="213"/>
      <c r="H28" s="102">
        <v>1.64</v>
      </c>
    </row>
    <row r="29" spans="2:8" ht="18" customHeight="1" x14ac:dyDescent="0.3">
      <c r="B29" s="103"/>
      <c r="C29" s="104"/>
      <c r="D29" s="77"/>
      <c r="E29" s="105"/>
      <c r="F29" s="106"/>
      <c r="G29" s="105"/>
      <c r="H29" s="107"/>
    </row>
    <row r="30" spans="2:8" ht="18" customHeight="1" x14ac:dyDescent="0.3">
      <c r="B30" s="225" t="s">
        <v>96</v>
      </c>
      <c r="C30" s="226"/>
      <c r="D30" s="227"/>
      <c r="E30" s="227"/>
      <c r="F30" s="227"/>
      <c r="G30" s="227"/>
      <c r="H30" s="228"/>
    </row>
    <row r="31" spans="2:8" ht="22.5" customHeight="1" x14ac:dyDescent="0.3">
      <c r="B31" s="214" t="s">
        <v>13</v>
      </c>
      <c r="C31" s="215"/>
      <c r="D31" s="123" t="s">
        <v>14</v>
      </c>
      <c r="E31" s="124" t="s">
        <v>79</v>
      </c>
      <c r="F31" s="124" t="s">
        <v>97</v>
      </c>
      <c r="G31" s="124" t="s">
        <v>98</v>
      </c>
      <c r="H31" s="125" t="s">
        <v>99</v>
      </c>
    </row>
    <row r="32" spans="2:8" ht="18" customHeight="1" x14ac:dyDescent="0.3">
      <c r="B32" s="229"/>
      <c r="C32" s="230"/>
      <c r="D32" s="126"/>
      <c r="E32" s="127"/>
      <c r="F32" s="128"/>
      <c r="G32" s="128"/>
      <c r="H32" s="121"/>
    </row>
    <row r="33" spans="1:17" ht="18" customHeight="1" x14ac:dyDescent="0.3">
      <c r="B33" s="231"/>
      <c r="C33" s="232"/>
      <c r="D33" s="129"/>
      <c r="E33" s="130"/>
      <c r="F33" s="131"/>
      <c r="G33" s="131"/>
      <c r="H33" s="101"/>
    </row>
    <row r="34" spans="1:17" ht="18" customHeight="1" x14ac:dyDescent="0.3">
      <c r="B34" s="210" t="s">
        <v>100</v>
      </c>
      <c r="C34" s="211"/>
      <c r="D34" s="212"/>
      <c r="E34" s="212"/>
      <c r="F34" s="212"/>
      <c r="G34" s="213"/>
      <c r="H34" s="102">
        <v>0</v>
      </c>
    </row>
    <row r="35" spans="1:17" ht="16.5" thickBot="1" x14ac:dyDescent="0.35">
      <c r="B35" s="132" t="s">
        <v>101</v>
      </c>
      <c r="C35" s="104"/>
      <c r="D35" s="104"/>
      <c r="E35" s="104"/>
      <c r="F35" s="104"/>
      <c r="G35" s="104"/>
      <c r="H35" s="133"/>
    </row>
    <row r="36" spans="1:17" x14ac:dyDescent="0.3">
      <c r="A36" s="88"/>
      <c r="B36" s="115"/>
      <c r="C36" s="116"/>
      <c r="D36" s="134"/>
      <c r="E36" s="135" t="s">
        <v>102</v>
      </c>
      <c r="F36" s="136"/>
      <c r="G36" s="136"/>
      <c r="H36" s="137">
        <f>ROUND(H13+H20+H28+H34,4)</f>
        <v>1.87</v>
      </c>
      <c r="I36" s="89"/>
      <c r="L36" s="138"/>
      <c r="M36" s="138"/>
      <c r="N36" s="138"/>
      <c r="O36" s="138"/>
      <c r="P36" s="138"/>
      <c r="Q36" s="138"/>
    </row>
    <row r="37" spans="1:17" x14ac:dyDescent="0.3">
      <c r="A37" s="88"/>
      <c r="B37" s="139"/>
      <c r="C37" s="140"/>
      <c r="D37" s="140"/>
      <c r="E37" s="141" t="s">
        <v>103</v>
      </c>
      <c r="F37" s="142"/>
      <c r="G37" s="142" t="s">
        <v>104</v>
      </c>
      <c r="H37" s="143">
        <f>ROUND(G37*H36,2)</f>
        <v>0.37</v>
      </c>
      <c r="I37" s="89"/>
      <c r="L37" s="144"/>
      <c r="M37" s="144"/>
      <c r="N37" s="144"/>
      <c r="O37" s="144"/>
      <c r="P37" s="144"/>
      <c r="Q37" s="144"/>
    </row>
    <row r="38" spans="1:17" x14ac:dyDescent="0.3">
      <c r="A38" s="88"/>
      <c r="B38" s="145"/>
      <c r="C38" s="146"/>
      <c r="D38" s="77"/>
      <c r="E38" s="147" t="s">
        <v>105</v>
      </c>
      <c r="F38" s="148"/>
      <c r="G38" s="148"/>
      <c r="H38" s="149"/>
      <c r="I38" s="89"/>
    </row>
    <row r="39" spans="1:17" ht="16.5" thickBot="1" x14ac:dyDescent="0.35">
      <c r="A39" s="88"/>
      <c r="B39" s="208" t="s">
        <v>60</v>
      </c>
      <c r="C39" s="209"/>
      <c r="D39" s="209"/>
      <c r="E39" s="150" t="s">
        <v>106</v>
      </c>
      <c r="F39" s="151"/>
      <c r="G39" s="152"/>
      <c r="H39" s="153">
        <f>H36+H37</f>
        <v>2.2400000000000002</v>
      </c>
      <c r="I39" s="89"/>
    </row>
    <row r="40" spans="1:17" ht="16.5" thickBot="1" x14ac:dyDescent="0.35">
      <c r="A40" s="88"/>
      <c r="B40" s="206" t="s">
        <v>62</v>
      </c>
      <c r="C40" s="207"/>
      <c r="D40" s="207"/>
      <c r="E40" s="154" t="s">
        <v>107</v>
      </c>
      <c r="F40" s="155"/>
      <c r="G40" s="155"/>
      <c r="H40" s="156">
        <f>ROUND(H39,2)</f>
        <v>2.2400000000000002</v>
      </c>
      <c r="I40" s="89"/>
    </row>
    <row r="41" spans="1:17" x14ac:dyDescent="0.3">
      <c r="B41" s="157"/>
      <c r="C41" s="157"/>
      <c r="D41" s="158"/>
      <c r="E41" s="159"/>
      <c r="F41" s="160"/>
      <c r="G41" s="159"/>
      <c r="H41" s="159"/>
    </row>
    <row r="42" spans="1:17" x14ac:dyDescent="0.3">
      <c r="B42" s="161"/>
      <c r="C42" s="161"/>
      <c r="D42" s="162"/>
      <c r="E42" s="163"/>
      <c r="F42" s="163"/>
      <c r="G42" s="163"/>
      <c r="H42" s="163"/>
    </row>
  </sheetData>
  <sheetProtection formatCells="0" formatColumns="0" formatRows="0" insertColumns="0" insertRows="0" insertHyperlinks="0" deleteColumns="0" deleteRows="0" sort="0" autoFilter="0" pivotTables="0"/>
  <mergeCells count="29">
    <mergeCell ref="B26:D26"/>
    <mergeCell ref="B20:G20"/>
    <mergeCell ref="B24:D24"/>
    <mergeCell ref="B23:D23"/>
    <mergeCell ref="B22:H22"/>
    <mergeCell ref="B25:D25"/>
    <mergeCell ref="B17:C17"/>
    <mergeCell ref="B19:C19"/>
    <mergeCell ref="B16:C16"/>
    <mergeCell ref="B15:H15"/>
    <mergeCell ref="B2:H2"/>
    <mergeCell ref="B3:H3"/>
    <mergeCell ref="B8:H8"/>
    <mergeCell ref="B9:C9"/>
    <mergeCell ref="B10:C10"/>
    <mergeCell ref="B13:G13"/>
    <mergeCell ref="B4:H4"/>
    <mergeCell ref="B12:C12"/>
    <mergeCell ref="B11:C11"/>
    <mergeCell ref="B18:C18"/>
    <mergeCell ref="B40:D40"/>
    <mergeCell ref="B39:D39"/>
    <mergeCell ref="B34:G34"/>
    <mergeCell ref="B31:C31"/>
    <mergeCell ref="B27:D27"/>
    <mergeCell ref="B28:G28"/>
    <mergeCell ref="B30:H30"/>
    <mergeCell ref="B32:C32"/>
    <mergeCell ref="B33:C33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118</v>
      </c>
    </row>
    <row r="6" spans="1:17" x14ac:dyDescent="0.3">
      <c r="B6" s="82" t="s">
        <v>75</v>
      </c>
      <c r="C6" s="83" t="s">
        <v>24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119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120</v>
      </c>
      <c r="C10" s="245"/>
      <c r="D10" s="97">
        <v>1</v>
      </c>
      <c r="E10" s="97">
        <v>4.51</v>
      </c>
      <c r="F10" s="97">
        <f>IF(ISNUMBER(D10),D10*E10,)</f>
        <v>4.51</v>
      </c>
      <c r="G10" s="97">
        <v>5.8799999999999998E-2</v>
      </c>
      <c r="H10" s="98">
        <v>0.27</v>
      </c>
    </row>
    <row r="11" spans="1:17" ht="18" customHeight="1" x14ac:dyDescent="0.3">
      <c r="B11" s="248" t="s">
        <v>121</v>
      </c>
      <c r="C11" s="220"/>
      <c r="D11" s="111">
        <v>1</v>
      </c>
      <c r="E11" s="111">
        <v>20</v>
      </c>
      <c r="F11" s="111">
        <f>IF(ISNUMBER(D11),D11*E11,)</f>
        <v>20</v>
      </c>
      <c r="G11" s="111">
        <v>5.8799999999999998E-2</v>
      </c>
      <c r="H11" s="113">
        <v>1.18</v>
      </c>
    </row>
    <row r="12" spans="1:17" ht="18" customHeight="1" x14ac:dyDescent="0.3">
      <c r="B12" s="248" t="s">
        <v>122</v>
      </c>
      <c r="C12" s="220"/>
      <c r="D12" s="111">
        <v>1</v>
      </c>
      <c r="E12" s="111">
        <v>3</v>
      </c>
      <c r="F12" s="111">
        <f>IF(ISNUMBER(D12),D12*E12,)</f>
        <v>3</v>
      </c>
      <c r="G12" s="111">
        <v>5.8799999999999998E-2</v>
      </c>
      <c r="H12" s="113">
        <v>0.18</v>
      </c>
    </row>
    <row r="13" spans="1:17" ht="18" customHeight="1" x14ac:dyDescent="0.3">
      <c r="B13" s="248" t="s">
        <v>123</v>
      </c>
      <c r="C13" s="220"/>
      <c r="D13" s="111">
        <v>1</v>
      </c>
      <c r="E13" s="111">
        <v>50</v>
      </c>
      <c r="F13" s="111">
        <f>IF(ISNUMBER(D13),D13*E13,)</f>
        <v>50</v>
      </c>
      <c r="G13" s="111">
        <v>5.8799999999999998E-2</v>
      </c>
      <c r="H13" s="113">
        <v>2.94</v>
      </c>
    </row>
    <row r="14" spans="1:17" ht="18" customHeight="1" x14ac:dyDescent="0.3">
      <c r="B14" s="248" t="s">
        <v>84</v>
      </c>
      <c r="C14" s="220"/>
      <c r="D14" s="111" t="s">
        <v>85</v>
      </c>
      <c r="E14" s="111" t="s">
        <v>18</v>
      </c>
      <c r="F14" s="111">
        <f>IF(ISNUMBER(D14),D14*E14,)</f>
        <v>0</v>
      </c>
      <c r="G14" s="111" t="s">
        <v>18</v>
      </c>
      <c r="H14" s="113">
        <v>0.16</v>
      </c>
    </row>
    <row r="15" spans="1:17" ht="18" customHeight="1" x14ac:dyDescent="0.3">
      <c r="B15" s="235"/>
      <c r="C15" s="236"/>
      <c r="D15" s="99"/>
      <c r="E15" s="99"/>
      <c r="F15" s="99"/>
      <c r="G15" s="100"/>
      <c r="H15" s="101"/>
    </row>
    <row r="16" spans="1:17" ht="18" customHeight="1" x14ac:dyDescent="0.3">
      <c r="B16" s="210" t="s">
        <v>86</v>
      </c>
      <c r="C16" s="211"/>
      <c r="D16" s="212"/>
      <c r="E16" s="212"/>
      <c r="F16" s="212"/>
      <c r="G16" s="213"/>
      <c r="H16" s="102">
        <v>4.7300000000000004</v>
      </c>
    </row>
    <row r="17" spans="2:8" ht="18" customHeight="1" x14ac:dyDescent="0.3">
      <c r="B17" s="103"/>
      <c r="C17" s="104"/>
      <c r="D17" s="77"/>
      <c r="E17" s="105"/>
      <c r="F17" s="106"/>
      <c r="G17" s="105"/>
      <c r="H17" s="107"/>
    </row>
    <row r="18" spans="2:8" ht="18" customHeight="1" x14ac:dyDescent="0.3">
      <c r="B18" s="225" t="s">
        <v>87</v>
      </c>
      <c r="C18" s="226"/>
      <c r="D18" s="227"/>
      <c r="E18" s="227"/>
      <c r="F18" s="227"/>
      <c r="G18" s="227"/>
      <c r="H18" s="228"/>
    </row>
    <row r="19" spans="2:8" ht="20.25" customHeight="1" x14ac:dyDescent="0.3">
      <c r="B19" s="214" t="s">
        <v>13</v>
      </c>
      <c r="C19" s="215"/>
      <c r="D19" s="108" t="s">
        <v>79</v>
      </c>
      <c r="E19" s="91" t="s">
        <v>88</v>
      </c>
      <c r="F19" s="109" t="s">
        <v>81</v>
      </c>
      <c r="G19" s="108" t="s">
        <v>82</v>
      </c>
      <c r="H19" s="110" t="s">
        <v>83</v>
      </c>
    </row>
    <row r="20" spans="2:8" ht="18" customHeight="1" x14ac:dyDescent="0.3">
      <c r="B20" s="233" t="s">
        <v>124</v>
      </c>
      <c r="C20" s="234"/>
      <c r="D20" s="97">
        <v>1</v>
      </c>
      <c r="E20" s="97">
        <v>4.87</v>
      </c>
      <c r="F20" s="97">
        <f t="shared" ref="F20:F25" si="0">IF(ISNUMBER(D20),D20*E20,)</f>
        <v>4.87</v>
      </c>
      <c r="G20" s="97">
        <v>5.8799999999999998E-2</v>
      </c>
      <c r="H20" s="98">
        <v>0.28999999999999998</v>
      </c>
    </row>
    <row r="21" spans="2:8" ht="18" customHeight="1" x14ac:dyDescent="0.3">
      <c r="B21" s="248" t="s">
        <v>89</v>
      </c>
      <c r="C21" s="249"/>
      <c r="D21" s="111">
        <v>5</v>
      </c>
      <c r="E21" s="112">
        <v>4.34</v>
      </c>
      <c r="F21" s="111">
        <f t="shared" si="0"/>
        <v>21.7</v>
      </c>
      <c r="G21" s="111">
        <v>5.8799999999999998E-2</v>
      </c>
      <c r="H21" s="113">
        <v>1.28</v>
      </c>
    </row>
    <row r="22" spans="2:8" ht="18" customHeight="1" x14ac:dyDescent="0.3">
      <c r="B22" s="248" t="s">
        <v>125</v>
      </c>
      <c r="C22" s="249"/>
      <c r="D22" s="111">
        <v>1</v>
      </c>
      <c r="E22" s="112">
        <v>4.3899999999999997</v>
      </c>
      <c r="F22" s="111">
        <f t="shared" si="0"/>
        <v>4.3899999999999997</v>
      </c>
      <c r="G22" s="111">
        <v>5.8799999999999998E-2</v>
      </c>
      <c r="H22" s="113">
        <v>0.26</v>
      </c>
    </row>
    <row r="23" spans="2:8" ht="18" customHeight="1" x14ac:dyDescent="0.3">
      <c r="B23" s="248" t="s">
        <v>126</v>
      </c>
      <c r="C23" s="249"/>
      <c r="D23" s="111">
        <v>3</v>
      </c>
      <c r="E23" s="112">
        <v>4.3899999999999997</v>
      </c>
      <c r="F23" s="111">
        <f t="shared" si="0"/>
        <v>13.169999999999998</v>
      </c>
      <c r="G23" s="111">
        <v>5.8799999999999998E-2</v>
      </c>
      <c r="H23" s="113">
        <v>0.77</v>
      </c>
    </row>
    <row r="24" spans="2:8" ht="18" customHeight="1" x14ac:dyDescent="0.3">
      <c r="B24" s="248" t="s">
        <v>90</v>
      </c>
      <c r="C24" s="249"/>
      <c r="D24" s="111">
        <v>1</v>
      </c>
      <c r="E24" s="112">
        <v>4.87</v>
      </c>
      <c r="F24" s="111">
        <f t="shared" si="0"/>
        <v>4.87</v>
      </c>
      <c r="G24" s="111">
        <v>5.8799999999999998E-2</v>
      </c>
      <c r="H24" s="113">
        <v>0.28999999999999998</v>
      </c>
    </row>
    <row r="25" spans="2:8" ht="18" customHeight="1" x14ac:dyDescent="0.3">
      <c r="B25" s="248" t="s">
        <v>127</v>
      </c>
      <c r="C25" s="249"/>
      <c r="D25" s="111">
        <v>1</v>
      </c>
      <c r="E25" s="112">
        <v>6.38</v>
      </c>
      <c r="F25" s="111">
        <f t="shared" si="0"/>
        <v>6.38</v>
      </c>
      <c r="G25" s="111">
        <v>5.8799999999999998E-2</v>
      </c>
      <c r="H25" s="113">
        <v>0.38</v>
      </c>
    </row>
    <row r="26" spans="2:8" ht="18" customHeight="1" x14ac:dyDescent="0.3">
      <c r="B26" s="235"/>
      <c r="C26" s="236"/>
      <c r="D26" s="99"/>
      <c r="E26" s="114"/>
      <c r="F26" s="99"/>
      <c r="G26" s="99"/>
      <c r="H26" s="101"/>
    </row>
    <row r="27" spans="2:8" ht="18" customHeight="1" x14ac:dyDescent="0.3">
      <c r="B27" s="210" t="s">
        <v>91</v>
      </c>
      <c r="C27" s="211"/>
      <c r="D27" s="212"/>
      <c r="E27" s="212"/>
      <c r="F27" s="212"/>
      <c r="G27" s="213"/>
      <c r="H27" s="102">
        <v>3.27</v>
      </c>
    </row>
    <row r="28" spans="2:8" ht="18" customHeight="1" x14ac:dyDescent="0.3">
      <c r="B28" s="115"/>
      <c r="C28" s="116"/>
      <c r="D28" s="116"/>
      <c r="E28" s="116"/>
      <c r="F28" s="116"/>
      <c r="G28" s="116"/>
      <c r="H28" s="117"/>
    </row>
    <row r="29" spans="2:8" ht="18" customHeight="1" x14ac:dyDescent="0.3">
      <c r="B29" s="225" t="s">
        <v>92</v>
      </c>
      <c r="C29" s="226"/>
      <c r="D29" s="227"/>
      <c r="E29" s="227"/>
      <c r="F29" s="227"/>
      <c r="G29" s="227"/>
      <c r="H29" s="228"/>
    </row>
    <row r="30" spans="2:8" ht="20.25" customHeight="1" x14ac:dyDescent="0.3">
      <c r="B30" s="222" t="s">
        <v>13</v>
      </c>
      <c r="C30" s="223"/>
      <c r="D30" s="224"/>
      <c r="E30" s="118" t="s">
        <v>14</v>
      </c>
      <c r="F30" s="90" t="s">
        <v>79</v>
      </c>
      <c r="G30" s="91" t="s">
        <v>93</v>
      </c>
      <c r="H30" s="92" t="s">
        <v>94</v>
      </c>
    </row>
    <row r="31" spans="2:8" ht="18" customHeight="1" x14ac:dyDescent="0.3">
      <c r="B31" s="250" t="s">
        <v>128</v>
      </c>
      <c r="C31" s="245"/>
      <c r="D31" s="251"/>
      <c r="E31" s="164" t="s">
        <v>25</v>
      </c>
      <c r="F31" s="165">
        <v>0.25</v>
      </c>
      <c r="G31" s="165">
        <v>2.25</v>
      </c>
      <c r="H31" s="98">
        <v>0.56000000000000005</v>
      </c>
    </row>
    <row r="32" spans="2:8" ht="18" customHeight="1" x14ac:dyDescent="0.3">
      <c r="B32" s="219" t="s">
        <v>129</v>
      </c>
      <c r="C32" s="220"/>
      <c r="D32" s="221"/>
      <c r="E32" s="166" t="s">
        <v>43</v>
      </c>
      <c r="F32" s="167">
        <v>1</v>
      </c>
      <c r="G32" s="167">
        <v>0.6</v>
      </c>
      <c r="H32" s="113">
        <v>0.6</v>
      </c>
    </row>
    <row r="33" spans="1:17" ht="18" customHeight="1" x14ac:dyDescent="0.3">
      <c r="B33" s="216"/>
      <c r="C33" s="217"/>
      <c r="D33" s="218"/>
      <c r="E33" s="122"/>
      <c r="F33" s="114"/>
      <c r="G33" s="114"/>
      <c r="H33" s="101"/>
    </row>
    <row r="34" spans="1:17" ht="18" customHeight="1" x14ac:dyDescent="0.3">
      <c r="B34" s="210" t="s">
        <v>95</v>
      </c>
      <c r="C34" s="211"/>
      <c r="D34" s="212"/>
      <c r="E34" s="212"/>
      <c r="F34" s="212"/>
      <c r="G34" s="213"/>
      <c r="H34" s="102">
        <v>1.1600000000000001</v>
      </c>
    </row>
    <row r="35" spans="1:17" ht="18" customHeight="1" x14ac:dyDescent="0.3">
      <c r="B35" s="103"/>
      <c r="C35" s="104"/>
      <c r="D35" s="77"/>
      <c r="E35" s="105"/>
      <c r="F35" s="106"/>
      <c r="G35" s="105"/>
      <c r="H35" s="107"/>
    </row>
    <row r="36" spans="1:17" ht="18" customHeight="1" x14ac:dyDescent="0.3">
      <c r="B36" s="225" t="s">
        <v>96</v>
      </c>
      <c r="C36" s="226"/>
      <c r="D36" s="227"/>
      <c r="E36" s="227"/>
      <c r="F36" s="227"/>
      <c r="G36" s="227"/>
      <c r="H36" s="228"/>
    </row>
    <row r="37" spans="1:17" ht="22.5" customHeight="1" x14ac:dyDescent="0.3">
      <c r="B37" s="214" t="s">
        <v>13</v>
      </c>
      <c r="C37" s="215"/>
      <c r="D37" s="123" t="s">
        <v>14</v>
      </c>
      <c r="E37" s="124" t="s">
        <v>79</v>
      </c>
      <c r="F37" s="124" t="s">
        <v>97</v>
      </c>
      <c r="G37" s="124" t="s">
        <v>98</v>
      </c>
      <c r="H37" s="125" t="s">
        <v>99</v>
      </c>
    </row>
    <row r="38" spans="1:17" ht="18" customHeight="1" x14ac:dyDescent="0.3">
      <c r="B38" s="229"/>
      <c r="C38" s="230"/>
      <c r="D38" s="126"/>
      <c r="E38" s="127"/>
      <c r="F38" s="128"/>
      <c r="G38" s="128"/>
      <c r="H38" s="121"/>
    </row>
    <row r="39" spans="1:17" ht="18" customHeight="1" x14ac:dyDescent="0.3">
      <c r="B39" s="231"/>
      <c r="C39" s="232"/>
      <c r="D39" s="129"/>
      <c r="E39" s="130"/>
      <c r="F39" s="131"/>
      <c r="G39" s="131"/>
      <c r="H39" s="101"/>
    </row>
    <row r="40" spans="1:17" ht="18" customHeight="1" x14ac:dyDescent="0.3">
      <c r="B40" s="210" t="s">
        <v>100</v>
      </c>
      <c r="C40" s="211"/>
      <c r="D40" s="212"/>
      <c r="E40" s="212"/>
      <c r="F40" s="212"/>
      <c r="G40" s="213"/>
      <c r="H40" s="102">
        <v>0</v>
      </c>
    </row>
    <row r="41" spans="1:17" ht="16.5" thickBot="1" x14ac:dyDescent="0.35">
      <c r="B41" s="132" t="s">
        <v>101</v>
      </c>
      <c r="C41" s="104"/>
      <c r="D41" s="104"/>
      <c r="E41" s="104"/>
      <c r="F41" s="104"/>
      <c r="G41" s="104"/>
      <c r="H41" s="133"/>
    </row>
    <row r="42" spans="1:17" x14ac:dyDescent="0.3">
      <c r="A42" s="88"/>
      <c r="B42" s="115"/>
      <c r="C42" s="116"/>
      <c r="D42" s="134"/>
      <c r="E42" s="135" t="s">
        <v>102</v>
      </c>
      <c r="F42" s="136"/>
      <c r="G42" s="136"/>
      <c r="H42" s="137">
        <f>ROUND(H16+H27+H34+H40,4)</f>
        <v>9.16</v>
      </c>
      <c r="I42" s="89"/>
      <c r="L42" s="138"/>
      <c r="M42" s="138"/>
      <c r="N42" s="138"/>
      <c r="O42" s="138"/>
      <c r="P42" s="138"/>
      <c r="Q42" s="138"/>
    </row>
    <row r="43" spans="1:17" x14ac:dyDescent="0.3">
      <c r="A43" s="88"/>
      <c r="B43" s="139"/>
      <c r="C43" s="140"/>
      <c r="D43" s="140"/>
      <c r="E43" s="141" t="s">
        <v>103</v>
      </c>
      <c r="F43" s="142"/>
      <c r="G43" s="142" t="s">
        <v>104</v>
      </c>
      <c r="H43" s="143">
        <f>ROUND(G43*H42,2)</f>
        <v>1.83</v>
      </c>
      <c r="I43" s="89"/>
      <c r="L43" s="144"/>
      <c r="M43" s="144"/>
      <c r="N43" s="144"/>
      <c r="O43" s="144"/>
      <c r="P43" s="144"/>
      <c r="Q43" s="144"/>
    </row>
    <row r="44" spans="1:17" x14ac:dyDescent="0.3">
      <c r="A44" s="88"/>
      <c r="B44" s="145"/>
      <c r="C44" s="146"/>
      <c r="D44" s="77"/>
      <c r="E44" s="147" t="s">
        <v>105</v>
      </c>
      <c r="F44" s="148"/>
      <c r="G44" s="148"/>
      <c r="H44" s="149"/>
      <c r="I44" s="89"/>
    </row>
    <row r="45" spans="1:17" ht="16.5" thickBot="1" x14ac:dyDescent="0.35">
      <c r="A45" s="88"/>
      <c r="B45" s="208" t="s">
        <v>60</v>
      </c>
      <c r="C45" s="209"/>
      <c r="D45" s="209"/>
      <c r="E45" s="150" t="s">
        <v>106</v>
      </c>
      <c r="F45" s="151"/>
      <c r="G45" s="152"/>
      <c r="H45" s="153">
        <f>H42+H43</f>
        <v>10.99</v>
      </c>
      <c r="I45" s="89"/>
    </row>
    <row r="46" spans="1:17" ht="16.5" thickBot="1" x14ac:dyDescent="0.35">
      <c r="A46" s="88"/>
      <c r="B46" s="206" t="s">
        <v>62</v>
      </c>
      <c r="C46" s="207"/>
      <c r="D46" s="207"/>
      <c r="E46" s="154" t="s">
        <v>107</v>
      </c>
      <c r="F46" s="155"/>
      <c r="G46" s="155"/>
      <c r="H46" s="156">
        <f>ROUND(H45,2)</f>
        <v>10.99</v>
      </c>
      <c r="I46" s="89"/>
    </row>
    <row r="47" spans="1:17" x14ac:dyDescent="0.3">
      <c r="B47" s="157"/>
      <c r="C47" s="157"/>
      <c r="D47" s="158"/>
      <c r="E47" s="159"/>
      <c r="F47" s="160"/>
      <c r="G47" s="159"/>
      <c r="H47" s="159"/>
    </row>
    <row r="48" spans="1:17" x14ac:dyDescent="0.3">
      <c r="B48" s="161"/>
      <c r="C48" s="161"/>
      <c r="D48" s="162"/>
      <c r="E48" s="163"/>
      <c r="F48" s="163"/>
      <c r="G48" s="163"/>
      <c r="H48" s="163"/>
    </row>
  </sheetData>
  <sheetProtection formatCells="0" formatColumns="0" formatRows="0" insertColumns="0" insertRows="0" insertHyperlinks="0" deleteColumns="0" deleteRows="0" sort="0" autoFilter="0" pivotTables="0"/>
  <mergeCells count="35">
    <mergeCell ref="B11:C11"/>
    <mergeCell ref="B12:C12"/>
    <mergeCell ref="B2:H2"/>
    <mergeCell ref="B3:H3"/>
    <mergeCell ref="B8:H8"/>
    <mergeCell ref="B9:C9"/>
    <mergeCell ref="B10:C10"/>
    <mergeCell ref="B4:H4"/>
    <mergeCell ref="B19:C19"/>
    <mergeCell ref="B18:H18"/>
    <mergeCell ref="B16:G16"/>
    <mergeCell ref="B15:C15"/>
    <mergeCell ref="B13:C13"/>
    <mergeCell ref="B14:C14"/>
    <mergeCell ref="B29:H29"/>
    <mergeCell ref="B27:G27"/>
    <mergeCell ref="B32:D32"/>
    <mergeCell ref="B26:C26"/>
    <mergeCell ref="B20:C20"/>
    <mergeCell ref="B21:C21"/>
    <mergeCell ref="B22:C22"/>
    <mergeCell ref="B23:C23"/>
    <mergeCell ref="B24:C24"/>
    <mergeCell ref="B25:C25"/>
    <mergeCell ref="B31:D31"/>
    <mergeCell ref="B34:G34"/>
    <mergeCell ref="B30:D30"/>
    <mergeCell ref="B36:H36"/>
    <mergeCell ref="B38:C38"/>
    <mergeCell ref="B46:D46"/>
    <mergeCell ref="B45:D45"/>
    <mergeCell ref="B40:G40"/>
    <mergeCell ref="B37:C37"/>
    <mergeCell ref="B33:D33"/>
    <mergeCell ref="B39:C3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0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130</v>
      </c>
    </row>
    <row r="6" spans="1:17" x14ac:dyDescent="0.3">
      <c r="B6" s="82" t="s">
        <v>75</v>
      </c>
      <c r="C6" s="83" t="s">
        <v>26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131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0.39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0.39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2</v>
      </c>
      <c r="E16" s="97">
        <v>4.34</v>
      </c>
      <c r="F16" s="97">
        <f>IF(ISNUMBER(D16),D16*E16,)</f>
        <v>8.68</v>
      </c>
      <c r="G16" s="97">
        <v>0.55000000000000004</v>
      </c>
      <c r="H16" s="98">
        <v>4.7699999999999996</v>
      </c>
    </row>
    <row r="17" spans="2:8" ht="18" customHeight="1" x14ac:dyDescent="0.3">
      <c r="B17" s="248" t="s">
        <v>126</v>
      </c>
      <c r="C17" s="249"/>
      <c r="D17" s="111">
        <v>1</v>
      </c>
      <c r="E17" s="112">
        <v>4.3899999999999997</v>
      </c>
      <c r="F17" s="111">
        <f>IF(ISNUMBER(D17),D17*E17,)</f>
        <v>4.3899999999999997</v>
      </c>
      <c r="G17" s="111">
        <v>0.55000000000000004</v>
      </c>
      <c r="H17" s="113">
        <v>2.41</v>
      </c>
    </row>
    <row r="18" spans="2:8" ht="18" customHeight="1" x14ac:dyDescent="0.3">
      <c r="B18" s="248" t="s">
        <v>90</v>
      </c>
      <c r="C18" s="249"/>
      <c r="D18" s="111">
        <v>0.2</v>
      </c>
      <c r="E18" s="112">
        <v>4.87</v>
      </c>
      <c r="F18" s="111">
        <f>IF(ISNUMBER(D18),D18*E18,)</f>
        <v>0.97400000000000009</v>
      </c>
      <c r="G18" s="111">
        <v>0.55000000000000004</v>
      </c>
      <c r="H18" s="113">
        <v>0.54</v>
      </c>
    </row>
    <row r="19" spans="2:8" ht="18" customHeight="1" x14ac:dyDescent="0.3">
      <c r="B19" s="235"/>
      <c r="C19" s="236"/>
      <c r="D19" s="99"/>
      <c r="E19" s="114"/>
      <c r="F19" s="99"/>
      <c r="G19" s="99"/>
      <c r="H19" s="101"/>
    </row>
    <row r="20" spans="2:8" ht="18" customHeight="1" x14ac:dyDescent="0.3">
      <c r="B20" s="210" t="s">
        <v>91</v>
      </c>
      <c r="C20" s="211"/>
      <c r="D20" s="212"/>
      <c r="E20" s="212"/>
      <c r="F20" s="212"/>
      <c r="G20" s="213"/>
      <c r="H20" s="102">
        <v>7.72</v>
      </c>
    </row>
    <row r="21" spans="2:8" ht="18" customHeight="1" x14ac:dyDescent="0.3">
      <c r="B21" s="115"/>
      <c r="C21" s="116"/>
      <c r="D21" s="116"/>
      <c r="E21" s="116"/>
      <c r="F21" s="116"/>
      <c r="G21" s="116"/>
      <c r="H21" s="117"/>
    </row>
    <row r="22" spans="2:8" ht="18" customHeight="1" x14ac:dyDescent="0.3">
      <c r="B22" s="225" t="s">
        <v>92</v>
      </c>
      <c r="C22" s="226"/>
      <c r="D22" s="227"/>
      <c r="E22" s="227"/>
      <c r="F22" s="227"/>
      <c r="G22" s="227"/>
      <c r="H22" s="228"/>
    </row>
    <row r="23" spans="2:8" ht="20.25" customHeight="1" x14ac:dyDescent="0.3">
      <c r="B23" s="222" t="s">
        <v>13</v>
      </c>
      <c r="C23" s="223"/>
      <c r="D23" s="224"/>
      <c r="E23" s="118" t="s">
        <v>14</v>
      </c>
      <c r="F23" s="90" t="s">
        <v>79</v>
      </c>
      <c r="G23" s="91" t="s">
        <v>93</v>
      </c>
      <c r="H23" s="92" t="s">
        <v>94</v>
      </c>
    </row>
    <row r="24" spans="2:8" ht="18" customHeight="1" x14ac:dyDescent="0.3">
      <c r="B24" s="219"/>
      <c r="C24" s="220"/>
      <c r="D24" s="221"/>
      <c r="E24" s="119"/>
      <c r="F24" s="120"/>
      <c r="G24" s="120"/>
      <c r="H24" s="121"/>
    </row>
    <row r="25" spans="2:8" ht="18" customHeight="1" x14ac:dyDescent="0.3">
      <c r="B25" s="216"/>
      <c r="C25" s="217"/>
      <c r="D25" s="218"/>
      <c r="E25" s="122"/>
      <c r="F25" s="114"/>
      <c r="G25" s="114"/>
      <c r="H25" s="101"/>
    </row>
    <row r="26" spans="2:8" ht="18" customHeight="1" x14ac:dyDescent="0.3">
      <c r="B26" s="210" t="s">
        <v>95</v>
      </c>
      <c r="C26" s="211"/>
      <c r="D26" s="212"/>
      <c r="E26" s="212"/>
      <c r="F26" s="212"/>
      <c r="G26" s="213"/>
      <c r="H26" s="102">
        <v>0</v>
      </c>
    </row>
    <row r="27" spans="2:8" ht="18" customHeight="1" x14ac:dyDescent="0.3">
      <c r="B27" s="103"/>
      <c r="C27" s="104"/>
      <c r="D27" s="77"/>
      <c r="E27" s="105"/>
      <c r="F27" s="106"/>
      <c r="G27" s="105"/>
      <c r="H27" s="107"/>
    </row>
    <row r="28" spans="2:8" ht="18" customHeight="1" x14ac:dyDescent="0.3">
      <c r="B28" s="225" t="s">
        <v>96</v>
      </c>
      <c r="C28" s="226"/>
      <c r="D28" s="227"/>
      <c r="E28" s="227"/>
      <c r="F28" s="227"/>
      <c r="G28" s="227"/>
      <c r="H28" s="228"/>
    </row>
    <row r="29" spans="2:8" ht="22.5" customHeight="1" x14ac:dyDescent="0.3">
      <c r="B29" s="214" t="s">
        <v>13</v>
      </c>
      <c r="C29" s="215"/>
      <c r="D29" s="123" t="s">
        <v>14</v>
      </c>
      <c r="E29" s="124" t="s">
        <v>79</v>
      </c>
      <c r="F29" s="124" t="s">
        <v>97</v>
      </c>
      <c r="G29" s="124" t="s">
        <v>98</v>
      </c>
      <c r="H29" s="125" t="s">
        <v>99</v>
      </c>
    </row>
    <row r="30" spans="2:8" ht="18" customHeight="1" x14ac:dyDescent="0.3">
      <c r="B30" s="229"/>
      <c r="C30" s="230"/>
      <c r="D30" s="126"/>
      <c r="E30" s="127"/>
      <c r="F30" s="128"/>
      <c r="G30" s="128"/>
      <c r="H30" s="121"/>
    </row>
    <row r="31" spans="2:8" ht="18" customHeight="1" x14ac:dyDescent="0.3">
      <c r="B31" s="231"/>
      <c r="C31" s="232"/>
      <c r="D31" s="129"/>
      <c r="E31" s="130"/>
      <c r="F31" s="131"/>
      <c r="G31" s="131"/>
      <c r="H31" s="101"/>
    </row>
    <row r="32" spans="2:8" ht="18" customHeight="1" x14ac:dyDescent="0.3">
      <c r="B32" s="210" t="s">
        <v>100</v>
      </c>
      <c r="C32" s="211"/>
      <c r="D32" s="212"/>
      <c r="E32" s="212"/>
      <c r="F32" s="212"/>
      <c r="G32" s="213"/>
      <c r="H32" s="102">
        <v>0</v>
      </c>
    </row>
    <row r="33" spans="1:17" ht="16.5" thickBot="1" x14ac:dyDescent="0.35">
      <c r="B33" s="132" t="s">
        <v>101</v>
      </c>
      <c r="C33" s="104"/>
      <c r="D33" s="104"/>
      <c r="E33" s="104"/>
      <c r="F33" s="104"/>
      <c r="G33" s="104"/>
      <c r="H33" s="133"/>
    </row>
    <row r="34" spans="1:17" x14ac:dyDescent="0.3">
      <c r="A34" s="88"/>
      <c r="B34" s="115"/>
      <c r="C34" s="116"/>
      <c r="D34" s="134"/>
      <c r="E34" s="135" t="s">
        <v>102</v>
      </c>
      <c r="F34" s="136"/>
      <c r="G34" s="136"/>
      <c r="H34" s="137">
        <f>ROUND(H12+H20+H26+H32,4)</f>
        <v>8.11</v>
      </c>
      <c r="I34" s="89"/>
      <c r="L34" s="138"/>
      <c r="M34" s="138"/>
      <c r="N34" s="138"/>
      <c r="O34" s="138"/>
      <c r="P34" s="138"/>
      <c r="Q34" s="138"/>
    </row>
    <row r="35" spans="1:17" x14ac:dyDescent="0.3">
      <c r="A35" s="88"/>
      <c r="B35" s="139"/>
      <c r="C35" s="140"/>
      <c r="D35" s="140"/>
      <c r="E35" s="141" t="s">
        <v>103</v>
      </c>
      <c r="F35" s="142"/>
      <c r="G35" s="142" t="s">
        <v>104</v>
      </c>
      <c r="H35" s="143">
        <f>ROUND(G35*H34,2)</f>
        <v>1.62</v>
      </c>
      <c r="I35" s="89"/>
      <c r="L35" s="144"/>
      <c r="M35" s="144"/>
      <c r="N35" s="144"/>
      <c r="O35" s="144"/>
      <c r="P35" s="144"/>
      <c r="Q35" s="144"/>
    </row>
    <row r="36" spans="1:17" x14ac:dyDescent="0.3">
      <c r="A36" s="88"/>
      <c r="B36" s="145"/>
      <c r="C36" s="146"/>
      <c r="D36" s="77"/>
      <c r="E36" s="147" t="s">
        <v>105</v>
      </c>
      <c r="F36" s="148"/>
      <c r="G36" s="148"/>
      <c r="H36" s="149"/>
      <c r="I36" s="89"/>
    </row>
    <row r="37" spans="1:17" ht="16.5" thickBot="1" x14ac:dyDescent="0.35">
      <c r="A37" s="88"/>
      <c r="B37" s="208" t="s">
        <v>60</v>
      </c>
      <c r="C37" s="209"/>
      <c r="D37" s="209"/>
      <c r="E37" s="150" t="s">
        <v>106</v>
      </c>
      <c r="F37" s="151"/>
      <c r="G37" s="152"/>
      <c r="H37" s="153">
        <f>H34+H35</f>
        <v>9.73</v>
      </c>
      <c r="I37" s="89"/>
    </row>
    <row r="38" spans="1:17" ht="16.5" thickBot="1" x14ac:dyDescent="0.35">
      <c r="A38" s="88"/>
      <c r="B38" s="206" t="s">
        <v>62</v>
      </c>
      <c r="C38" s="207"/>
      <c r="D38" s="207"/>
      <c r="E38" s="154" t="s">
        <v>107</v>
      </c>
      <c r="F38" s="155"/>
      <c r="G38" s="155"/>
      <c r="H38" s="156">
        <f>ROUND(H37,2)</f>
        <v>9.73</v>
      </c>
      <c r="I38" s="89"/>
    </row>
    <row r="39" spans="1:17" x14ac:dyDescent="0.3">
      <c r="B39" s="157"/>
      <c r="C39" s="157"/>
      <c r="D39" s="158"/>
      <c r="E39" s="159"/>
      <c r="F39" s="160"/>
      <c r="G39" s="159"/>
      <c r="H39" s="159"/>
    </row>
    <row r="40" spans="1:17" x14ac:dyDescent="0.3">
      <c r="B40" s="161"/>
      <c r="C40" s="161"/>
      <c r="D40" s="162"/>
      <c r="E40" s="163"/>
      <c r="F40" s="163"/>
      <c r="G40" s="163"/>
      <c r="H40" s="163"/>
    </row>
  </sheetData>
  <sheetProtection formatCells="0" formatColumns="0" formatRows="0" insertColumns="0" insertRows="0" insertHyperlinks="0" deleteColumns="0" deleteRows="0" sort="0" autoFilter="0" pivotTables="0"/>
  <mergeCells count="27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2:H22"/>
    <mergeCell ref="B20:G20"/>
    <mergeCell ref="B16:C16"/>
    <mergeCell ref="B19:C19"/>
    <mergeCell ref="B15:C15"/>
    <mergeCell ref="B17:C17"/>
    <mergeCell ref="B18:C18"/>
    <mergeCell ref="B24:D24"/>
    <mergeCell ref="B23:D23"/>
    <mergeCell ref="B28:H28"/>
    <mergeCell ref="B30:C30"/>
    <mergeCell ref="B31:C31"/>
    <mergeCell ref="B38:D38"/>
    <mergeCell ref="B37:D37"/>
    <mergeCell ref="B32:G32"/>
    <mergeCell ref="B29:C29"/>
    <mergeCell ref="B25:D25"/>
    <mergeCell ref="B26:G26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4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132</v>
      </c>
    </row>
    <row r="6" spans="1:17" x14ac:dyDescent="0.3">
      <c r="B6" s="82" t="s">
        <v>75</v>
      </c>
      <c r="C6" s="83" t="s">
        <v>27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133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0.1</v>
      </c>
    </row>
    <row r="11" spans="1:17" ht="18" customHeight="1" x14ac:dyDescent="0.3">
      <c r="B11" s="248" t="s">
        <v>134</v>
      </c>
      <c r="C11" s="220"/>
      <c r="D11" s="111">
        <v>1</v>
      </c>
      <c r="E11" s="111">
        <v>5</v>
      </c>
      <c r="F11" s="111">
        <f>IF(ISNUMBER(D11),D11*E11,)</f>
        <v>5</v>
      </c>
      <c r="G11" s="111">
        <v>0.15939999999999999</v>
      </c>
      <c r="H11" s="113">
        <v>0.8</v>
      </c>
    </row>
    <row r="12" spans="1:17" ht="18" customHeight="1" x14ac:dyDescent="0.3">
      <c r="B12" s="248" t="s">
        <v>135</v>
      </c>
      <c r="C12" s="220"/>
      <c r="D12" s="111">
        <v>1</v>
      </c>
      <c r="E12" s="111">
        <v>40</v>
      </c>
      <c r="F12" s="111">
        <f>IF(ISNUMBER(D12),D12*E12,)</f>
        <v>40</v>
      </c>
      <c r="G12" s="111">
        <v>0.15939999999999999</v>
      </c>
      <c r="H12" s="113">
        <v>6.38</v>
      </c>
    </row>
    <row r="13" spans="1:17" ht="18" customHeight="1" x14ac:dyDescent="0.3">
      <c r="B13" s="235"/>
      <c r="C13" s="236"/>
      <c r="D13" s="99"/>
      <c r="E13" s="99"/>
      <c r="F13" s="99"/>
      <c r="G13" s="100"/>
      <c r="H13" s="101"/>
    </row>
    <row r="14" spans="1:17" ht="18" customHeight="1" x14ac:dyDescent="0.3">
      <c r="B14" s="210" t="s">
        <v>86</v>
      </c>
      <c r="C14" s="211"/>
      <c r="D14" s="212"/>
      <c r="E14" s="212"/>
      <c r="F14" s="212"/>
      <c r="G14" s="213"/>
      <c r="H14" s="102">
        <v>7.28</v>
      </c>
    </row>
    <row r="15" spans="1:17" ht="18" customHeight="1" x14ac:dyDescent="0.3">
      <c r="B15" s="103"/>
      <c r="C15" s="104"/>
      <c r="D15" s="77"/>
      <c r="E15" s="105"/>
      <c r="F15" s="106"/>
      <c r="G15" s="105"/>
      <c r="H15" s="107"/>
    </row>
    <row r="16" spans="1:17" ht="18" customHeight="1" x14ac:dyDescent="0.3">
      <c r="B16" s="225" t="s">
        <v>87</v>
      </c>
      <c r="C16" s="226"/>
      <c r="D16" s="227"/>
      <c r="E16" s="227"/>
      <c r="F16" s="227"/>
      <c r="G16" s="227"/>
      <c r="H16" s="228"/>
    </row>
    <row r="17" spans="2:8" ht="20.25" customHeight="1" x14ac:dyDescent="0.3">
      <c r="B17" s="214" t="s">
        <v>13</v>
      </c>
      <c r="C17" s="215"/>
      <c r="D17" s="108" t="s">
        <v>79</v>
      </c>
      <c r="E17" s="91" t="s">
        <v>88</v>
      </c>
      <c r="F17" s="109" t="s">
        <v>81</v>
      </c>
      <c r="G17" s="108" t="s">
        <v>82</v>
      </c>
      <c r="H17" s="110" t="s">
        <v>83</v>
      </c>
    </row>
    <row r="18" spans="2:8" ht="18" customHeight="1" x14ac:dyDescent="0.3">
      <c r="B18" s="233" t="s">
        <v>89</v>
      </c>
      <c r="C18" s="234"/>
      <c r="D18" s="97">
        <v>2</v>
      </c>
      <c r="E18" s="97">
        <v>4.34</v>
      </c>
      <c r="F18" s="97">
        <f>IF(ISNUMBER(D18),D18*E18,)</f>
        <v>8.68</v>
      </c>
      <c r="G18" s="97">
        <v>0.15939999999999999</v>
      </c>
      <c r="H18" s="98">
        <v>1.38</v>
      </c>
    </row>
    <row r="19" spans="2:8" ht="18" customHeight="1" x14ac:dyDescent="0.3">
      <c r="B19" s="248" t="s">
        <v>136</v>
      </c>
      <c r="C19" s="249"/>
      <c r="D19" s="111">
        <v>1</v>
      </c>
      <c r="E19" s="112">
        <v>4.3899999999999997</v>
      </c>
      <c r="F19" s="111">
        <f>IF(ISNUMBER(D19),D19*E19,)</f>
        <v>4.3899999999999997</v>
      </c>
      <c r="G19" s="111">
        <v>0.15939999999999999</v>
      </c>
      <c r="H19" s="113">
        <v>0.7</v>
      </c>
    </row>
    <row r="20" spans="2:8" ht="18" customHeight="1" x14ac:dyDescent="0.3">
      <c r="B20" s="235"/>
      <c r="C20" s="236"/>
      <c r="D20" s="99"/>
      <c r="E20" s="114"/>
      <c r="F20" s="99"/>
      <c r="G20" s="99"/>
      <c r="H20" s="101"/>
    </row>
    <row r="21" spans="2:8" ht="18" customHeight="1" x14ac:dyDescent="0.3">
      <c r="B21" s="210" t="s">
        <v>91</v>
      </c>
      <c r="C21" s="211"/>
      <c r="D21" s="212"/>
      <c r="E21" s="212"/>
      <c r="F21" s="212"/>
      <c r="G21" s="213"/>
      <c r="H21" s="102">
        <v>2.08</v>
      </c>
    </row>
    <row r="22" spans="2:8" ht="18" customHeight="1" x14ac:dyDescent="0.3">
      <c r="B22" s="115"/>
      <c r="C22" s="116"/>
      <c r="D22" s="116"/>
      <c r="E22" s="116"/>
      <c r="F22" s="116"/>
      <c r="G22" s="116"/>
      <c r="H22" s="117"/>
    </row>
    <row r="23" spans="2:8" ht="18" customHeight="1" x14ac:dyDescent="0.3">
      <c r="B23" s="225" t="s">
        <v>92</v>
      </c>
      <c r="C23" s="226"/>
      <c r="D23" s="227"/>
      <c r="E23" s="227"/>
      <c r="F23" s="227"/>
      <c r="G23" s="227"/>
      <c r="H23" s="228"/>
    </row>
    <row r="24" spans="2:8" ht="20.25" customHeight="1" x14ac:dyDescent="0.3">
      <c r="B24" s="222" t="s">
        <v>13</v>
      </c>
      <c r="C24" s="223"/>
      <c r="D24" s="224"/>
      <c r="E24" s="118" t="s">
        <v>14</v>
      </c>
      <c r="F24" s="90" t="s">
        <v>79</v>
      </c>
      <c r="G24" s="91" t="s">
        <v>93</v>
      </c>
      <c r="H24" s="92" t="s">
        <v>94</v>
      </c>
    </row>
    <row r="25" spans="2:8" ht="18" customHeight="1" x14ac:dyDescent="0.3">
      <c r="B25" s="250" t="s">
        <v>137</v>
      </c>
      <c r="C25" s="245"/>
      <c r="D25" s="251"/>
      <c r="E25" s="164" t="s">
        <v>38</v>
      </c>
      <c r="F25" s="165">
        <v>0.55000000000000004</v>
      </c>
      <c r="G25" s="165">
        <v>3</v>
      </c>
      <c r="H25" s="98">
        <v>1.65</v>
      </c>
    </row>
    <row r="26" spans="2:8" ht="18" customHeight="1" x14ac:dyDescent="0.3">
      <c r="B26" s="219" t="s">
        <v>138</v>
      </c>
      <c r="C26" s="220"/>
      <c r="D26" s="221"/>
      <c r="E26" s="166" t="s">
        <v>43</v>
      </c>
      <c r="F26" s="167">
        <v>0.35</v>
      </c>
      <c r="G26" s="167">
        <v>0.15</v>
      </c>
      <c r="H26" s="113">
        <v>0.05</v>
      </c>
    </row>
    <row r="27" spans="2:8" ht="18" customHeight="1" x14ac:dyDescent="0.3">
      <c r="B27" s="219" t="s">
        <v>139</v>
      </c>
      <c r="C27" s="220"/>
      <c r="D27" s="221"/>
      <c r="E27" s="166" t="s">
        <v>46</v>
      </c>
      <c r="F27" s="167">
        <v>0.95</v>
      </c>
      <c r="G27" s="167">
        <v>0.1</v>
      </c>
      <c r="H27" s="113">
        <v>0.1</v>
      </c>
    </row>
    <row r="28" spans="2:8" ht="18" customHeight="1" x14ac:dyDescent="0.3">
      <c r="B28" s="219" t="s">
        <v>140</v>
      </c>
      <c r="C28" s="220"/>
      <c r="D28" s="221"/>
      <c r="E28" s="166" t="s">
        <v>34</v>
      </c>
      <c r="F28" s="167">
        <v>0.25</v>
      </c>
      <c r="G28" s="167">
        <v>0.4</v>
      </c>
      <c r="H28" s="113">
        <v>0.1</v>
      </c>
    </row>
    <row r="29" spans="2:8" ht="18" customHeight="1" x14ac:dyDescent="0.3">
      <c r="B29" s="216"/>
      <c r="C29" s="217"/>
      <c r="D29" s="218"/>
      <c r="E29" s="122"/>
      <c r="F29" s="114"/>
      <c r="G29" s="114"/>
      <c r="H29" s="101"/>
    </row>
    <row r="30" spans="2:8" ht="18" customHeight="1" x14ac:dyDescent="0.3">
      <c r="B30" s="210" t="s">
        <v>95</v>
      </c>
      <c r="C30" s="211"/>
      <c r="D30" s="212"/>
      <c r="E30" s="212"/>
      <c r="F30" s="212"/>
      <c r="G30" s="213"/>
      <c r="H30" s="102">
        <v>1.9000000000000001</v>
      </c>
    </row>
    <row r="31" spans="2:8" ht="18" customHeight="1" x14ac:dyDescent="0.3">
      <c r="B31" s="103"/>
      <c r="C31" s="104"/>
      <c r="D31" s="77"/>
      <c r="E31" s="105"/>
      <c r="F31" s="106"/>
      <c r="G31" s="105"/>
      <c r="H31" s="107"/>
    </row>
    <row r="32" spans="2:8" ht="18" customHeight="1" x14ac:dyDescent="0.3">
      <c r="B32" s="225" t="s">
        <v>96</v>
      </c>
      <c r="C32" s="226"/>
      <c r="D32" s="227"/>
      <c r="E32" s="227"/>
      <c r="F32" s="227"/>
      <c r="G32" s="227"/>
      <c r="H32" s="228"/>
    </row>
    <row r="33" spans="1:17" ht="22.5" customHeight="1" x14ac:dyDescent="0.3">
      <c r="B33" s="214" t="s">
        <v>13</v>
      </c>
      <c r="C33" s="215"/>
      <c r="D33" s="123" t="s">
        <v>14</v>
      </c>
      <c r="E33" s="124" t="s">
        <v>79</v>
      </c>
      <c r="F33" s="124" t="s">
        <v>97</v>
      </c>
      <c r="G33" s="124" t="s">
        <v>98</v>
      </c>
      <c r="H33" s="125" t="s">
        <v>99</v>
      </c>
    </row>
    <row r="34" spans="1:17" ht="18" customHeight="1" x14ac:dyDescent="0.3">
      <c r="B34" s="229"/>
      <c r="C34" s="230"/>
      <c r="D34" s="126"/>
      <c r="E34" s="127"/>
      <c r="F34" s="128"/>
      <c r="G34" s="128"/>
      <c r="H34" s="121"/>
    </row>
    <row r="35" spans="1:17" ht="18" customHeight="1" x14ac:dyDescent="0.3">
      <c r="B35" s="231"/>
      <c r="C35" s="232"/>
      <c r="D35" s="129"/>
      <c r="E35" s="130"/>
      <c r="F35" s="131"/>
      <c r="G35" s="131"/>
      <c r="H35" s="101"/>
    </row>
    <row r="36" spans="1:17" ht="18" customHeight="1" x14ac:dyDescent="0.3">
      <c r="B36" s="210" t="s">
        <v>100</v>
      </c>
      <c r="C36" s="211"/>
      <c r="D36" s="212"/>
      <c r="E36" s="212"/>
      <c r="F36" s="212"/>
      <c r="G36" s="213"/>
      <c r="H36" s="102">
        <v>0</v>
      </c>
    </row>
    <row r="37" spans="1:17" ht="16.5" thickBot="1" x14ac:dyDescent="0.35">
      <c r="B37" s="132" t="s">
        <v>101</v>
      </c>
      <c r="C37" s="104"/>
      <c r="D37" s="104"/>
      <c r="E37" s="104"/>
      <c r="F37" s="104"/>
      <c r="G37" s="104"/>
      <c r="H37" s="133"/>
    </row>
    <row r="38" spans="1:17" x14ac:dyDescent="0.3">
      <c r="A38" s="88"/>
      <c r="B38" s="115"/>
      <c r="C38" s="116"/>
      <c r="D38" s="134"/>
      <c r="E38" s="135" t="s">
        <v>102</v>
      </c>
      <c r="F38" s="136"/>
      <c r="G38" s="136"/>
      <c r="H38" s="137">
        <f>ROUND(H14+H21+H30+H36,4)</f>
        <v>11.26</v>
      </c>
      <c r="I38" s="89"/>
      <c r="L38" s="138"/>
      <c r="M38" s="138"/>
      <c r="N38" s="138"/>
      <c r="O38" s="138"/>
      <c r="P38" s="138"/>
      <c r="Q38" s="138"/>
    </row>
    <row r="39" spans="1:17" x14ac:dyDescent="0.3">
      <c r="A39" s="88"/>
      <c r="B39" s="139"/>
      <c r="C39" s="140"/>
      <c r="D39" s="140"/>
      <c r="E39" s="141" t="s">
        <v>103</v>
      </c>
      <c r="F39" s="142"/>
      <c r="G39" s="142" t="s">
        <v>104</v>
      </c>
      <c r="H39" s="143">
        <f>ROUND(G39*H38,2)</f>
        <v>2.25</v>
      </c>
      <c r="I39" s="89"/>
      <c r="L39" s="144"/>
      <c r="M39" s="144"/>
      <c r="N39" s="144"/>
      <c r="O39" s="144"/>
      <c r="P39" s="144"/>
      <c r="Q39" s="144"/>
    </row>
    <row r="40" spans="1:17" x14ac:dyDescent="0.3">
      <c r="A40" s="88"/>
      <c r="B40" s="145"/>
      <c r="C40" s="146"/>
      <c r="D40" s="77"/>
      <c r="E40" s="147" t="s">
        <v>105</v>
      </c>
      <c r="F40" s="148"/>
      <c r="G40" s="148"/>
      <c r="H40" s="149"/>
      <c r="I40" s="89"/>
    </row>
    <row r="41" spans="1:17" ht="16.5" thickBot="1" x14ac:dyDescent="0.35">
      <c r="A41" s="88"/>
      <c r="B41" s="208" t="s">
        <v>60</v>
      </c>
      <c r="C41" s="209"/>
      <c r="D41" s="209"/>
      <c r="E41" s="150" t="s">
        <v>106</v>
      </c>
      <c r="F41" s="151"/>
      <c r="G41" s="152"/>
      <c r="H41" s="153">
        <f>H38+H39</f>
        <v>13.51</v>
      </c>
      <c r="I41" s="89"/>
    </row>
    <row r="42" spans="1:17" ht="16.5" thickBot="1" x14ac:dyDescent="0.35">
      <c r="A42" s="88"/>
      <c r="B42" s="206" t="s">
        <v>62</v>
      </c>
      <c r="C42" s="207"/>
      <c r="D42" s="207"/>
      <c r="E42" s="154" t="s">
        <v>107</v>
      </c>
      <c r="F42" s="155"/>
      <c r="G42" s="155"/>
      <c r="H42" s="156">
        <f>ROUND(H41,2)</f>
        <v>13.51</v>
      </c>
      <c r="I42" s="89"/>
    </row>
    <row r="43" spans="1:17" x14ac:dyDescent="0.3">
      <c r="B43" s="157"/>
      <c r="C43" s="157"/>
      <c r="D43" s="158"/>
      <c r="E43" s="159"/>
      <c r="F43" s="160"/>
      <c r="G43" s="159"/>
      <c r="H43" s="159"/>
    </row>
    <row r="44" spans="1:17" x14ac:dyDescent="0.3">
      <c r="B44" s="161"/>
      <c r="C44" s="161"/>
      <c r="D44" s="162"/>
      <c r="E44" s="163"/>
      <c r="F44" s="163"/>
      <c r="G44" s="163"/>
      <c r="H44" s="163"/>
    </row>
  </sheetData>
  <sheetProtection formatCells="0" formatColumns="0" formatRows="0" insertColumns="0" insertRows="0" insertHyperlinks="0" deleteColumns="0" deleteRows="0" sort="0" autoFilter="0" pivotTables="0"/>
  <mergeCells count="31">
    <mergeCell ref="B27:D27"/>
    <mergeCell ref="B28:D28"/>
    <mergeCell ref="B21:G21"/>
    <mergeCell ref="B25:D25"/>
    <mergeCell ref="B24:D24"/>
    <mergeCell ref="B23:H23"/>
    <mergeCell ref="B26:D26"/>
    <mergeCell ref="B18:C18"/>
    <mergeCell ref="B20:C20"/>
    <mergeCell ref="B17:C17"/>
    <mergeCell ref="B16:H16"/>
    <mergeCell ref="B2:H2"/>
    <mergeCell ref="B3:H3"/>
    <mergeCell ref="B8:H8"/>
    <mergeCell ref="B9:C9"/>
    <mergeCell ref="B10:C10"/>
    <mergeCell ref="B14:G14"/>
    <mergeCell ref="B4:H4"/>
    <mergeCell ref="B13:C13"/>
    <mergeCell ref="B11:C11"/>
    <mergeCell ref="B12:C12"/>
    <mergeCell ref="B19:C19"/>
    <mergeCell ref="B42:D42"/>
    <mergeCell ref="B41:D41"/>
    <mergeCell ref="B36:G36"/>
    <mergeCell ref="B33:C33"/>
    <mergeCell ref="B29:D29"/>
    <mergeCell ref="B30:G30"/>
    <mergeCell ref="B32:H32"/>
    <mergeCell ref="B34:C34"/>
    <mergeCell ref="B35:C35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1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141</v>
      </c>
    </row>
    <row r="6" spans="1:17" x14ac:dyDescent="0.3">
      <c r="B6" s="82" t="s">
        <v>75</v>
      </c>
      <c r="C6" s="83" t="s">
        <v>28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142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0.04</v>
      </c>
    </row>
    <row r="11" spans="1:17" ht="18" customHeight="1" x14ac:dyDescent="0.3">
      <c r="B11" s="248" t="s">
        <v>143</v>
      </c>
      <c r="C11" s="220"/>
      <c r="D11" s="111">
        <v>1</v>
      </c>
      <c r="E11" s="111">
        <v>25</v>
      </c>
      <c r="F11" s="111">
        <f>IF(ISNUMBER(D11),D11*E11,)</f>
        <v>25</v>
      </c>
      <c r="G11" s="111">
        <v>5.8900000000000001E-2</v>
      </c>
      <c r="H11" s="113">
        <v>1.47</v>
      </c>
    </row>
    <row r="12" spans="1:17" ht="18" customHeight="1" x14ac:dyDescent="0.3">
      <c r="B12" s="235"/>
      <c r="C12" s="236"/>
      <c r="D12" s="99"/>
      <c r="E12" s="99"/>
      <c r="F12" s="99"/>
      <c r="G12" s="100"/>
      <c r="H12" s="101"/>
    </row>
    <row r="13" spans="1:17" ht="18" customHeight="1" x14ac:dyDescent="0.3">
      <c r="B13" s="210" t="s">
        <v>86</v>
      </c>
      <c r="C13" s="211"/>
      <c r="D13" s="212"/>
      <c r="E13" s="212"/>
      <c r="F13" s="212"/>
      <c r="G13" s="213"/>
      <c r="H13" s="102">
        <v>1.51</v>
      </c>
    </row>
    <row r="14" spans="1:17" ht="18" customHeight="1" x14ac:dyDescent="0.3">
      <c r="B14" s="103"/>
      <c r="C14" s="104"/>
      <c r="D14" s="77"/>
      <c r="E14" s="105"/>
      <c r="F14" s="106"/>
      <c r="G14" s="105"/>
      <c r="H14" s="107"/>
    </row>
    <row r="15" spans="1:17" ht="18" customHeight="1" x14ac:dyDescent="0.3">
      <c r="B15" s="225" t="s">
        <v>87</v>
      </c>
      <c r="C15" s="226"/>
      <c r="D15" s="227"/>
      <c r="E15" s="227"/>
      <c r="F15" s="227"/>
      <c r="G15" s="227"/>
      <c r="H15" s="228"/>
    </row>
    <row r="16" spans="1:17" ht="20.25" customHeight="1" x14ac:dyDescent="0.3">
      <c r="B16" s="214" t="s">
        <v>13</v>
      </c>
      <c r="C16" s="215"/>
      <c r="D16" s="108" t="s">
        <v>79</v>
      </c>
      <c r="E16" s="91" t="s">
        <v>88</v>
      </c>
      <c r="F16" s="109" t="s">
        <v>81</v>
      </c>
      <c r="G16" s="108" t="s">
        <v>82</v>
      </c>
      <c r="H16" s="110" t="s">
        <v>83</v>
      </c>
    </row>
    <row r="17" spans="2:8" ht="18" customHeight="1" x14ac:dyDescent="0.3">
      <c r="B17" s="233" t="s">
        <v>89</v>
      </c>
      <c r="C17" s="234"/>
      <c r="D17" s="97">
        <v>2</v>
      </c>
      <c r="E17" s="97">
        <v>4.34</v>
      </c>
      <c r="F17" s="97">
        <f>IF(ISNUMBER(D17),D17*E17,)</f>
        <v>8.68</v>
      </c>
      <c r="G17" s="97">
        <v>5.8900000000000001E-2</v>
      </c>
      <c r="H17" s="98">
        <v>0.51</v>
      </c>
    </row>
    <row r="18" spans="2:8" ht="18" customHeight="1" x14ac:dyDescent="0.3">
      <c r="B18" s="248" t="s">
        <v>90</v>
      </c>
      <c r="C18" s="249"/>
      <c r="D18" s="111">
        <v>0.1</v>
      </c>
      <c r="E18" s="112">
        <v>4.87</v>
      </c>
      <c r="F18" s="111">
        <f>IF(ISNUMBER(D18),D18*E18,)</f>
        <v>0.48700000000000004</v>
      </c>
      <c r="G18" s="111">
        <v>5.8900000000000001E-2</v>
      </c>
      <c r="H18" s="113">
        <v>0.03</v>
      </c>
    </row>
    <row r="19" spans="2:8" ht="18" customHeight="1" x14ac:dyDescent="0.3">
      <c r="B19" s="248" t="s">
        <v>144</v>
      </c>
      <c r="C19" s="249"/>
      <c r="D19" s="111">
        <v>1</v>
      </c>
      <c r="E19" s="112">
        <v>4.87</v>
      </c>
      <c r="F19" s="111">
        <f>IF(ISNUMBER(D19),D19*E19,)</f>
        <v>4.87</v>
      </c>
      <c r="G19" s="111">
        <v>5.8900000000000001E-2</v>
      </c>
      <c r="H19" s="113">
        <v>0.28999999999999998</v>
      </c>
    </row>
    <row r="20" spans="2:8" ht="18" customHeight="1" x14ac:dyDescent="0.3">
      <c r="B20" s="235"/>
      <c r="C20" s="236"/>
      <c r="D20" s="99"/>
      <c r="E20" s="114"/>
      <c r="F20" s="99"/>
      <c r="G20" s="99"/>
      <c r="H20" s="101"/>
    </row>
    <row r="21" spans="2:8" ht="18" customHeight="1" x14ac:dyDescent="0.3">
      <c r="B21" s="210" t="s">
        <v>91</v>
      </c>
      <c r="C21" s="211"/>
      <c r="D21" s="212"/>
      <c r="E21" s="212"/>
      <c r="F21" s="212"/>
      <c r="G21" s="213"/>
      <c r="H21" s="102">
        <v>0.83000000000000007</v>
      </c>
    </row>
    <row r="22" spans="2:8" ht="18" customHeight="1" x14ac:dyDescent="0.3">
      <c r="B22" s="115"/>
      <c r="C22" s="116"/>
      <c r="D22" s="116"/>
      <c r="E22" s="116"/>
      <c r="F22" s="116"/>
      <c r="G22" s="116"/>
      <c r="H22" s="117"/>
    </row>
    <row r="23" spans="2:8" ht="18" customHeight="1" x14ac:dyDescent="0.3">
      <c r="B23" s="225" t="s">
        <v>92</v>
      </c>
      <c r="C23" s="226"/>
      <c r="D23" s="227"/>
      <c r="E23" s="227"/>
      <c r="F23" s="227"/>
      <c r="G23" s="227"/>
      <c r="H23" s="228"/>
    </row>
    <row r="24" spans="2:8" ht="20.25" customHeight="1" x14ac:dyDescent="0.3">
      <c r="B24" s="222" t="s">
        <v>13</v>
      </c>
      <c r="C24" s="223"/>
      <c r="D24" s="224"/>
      <c r="E24" s="118" t="s">
        <v>14</v>
      </c>
      <c r="F24" s="90" t="s">
        <v>79</v>
      </c>
      <c r="G24" s="91" t="s">
        <v>93</v>
      </c>
      <c r="H24" s="92" t="s">
        <v>94</v>
      </c>
    </row>
    <row r="25" spans="2:8" ht="18" customHeight="1" x14ac:dyDescent="0.3">
      <c r="B25" s="250" t="s">
        <v>145</v>
      </c>
      <c r="C25" s="245"/>
      <c r="D25" s="251"/>
      <c r="E25" s="164" t="s">
        <v>146</v>
      </c>
      <c r="F25" s="165">
        <v>1</v>
      </c>
      <c r="G25" s="165">
        <v>22.32</v>
      </c>
      <c r="H25" s="98">
        <v>22.32</v>
      </c>
    </row>
    <row r="26" spans="2:8" ht="18" customHeight="1" x14ac:dyDescent="0.3">
      <c r="B26" s="216"/>
      <c r="C26" s="217"/>
      <c r="D26" s="218"/>
      <c r="E26" s="122"/>
      <c r="F26" s="114"/>
      <c r="G26" s="114"/>
      <c r="H26" s="101"/>
    </row>
    <row r="27" spans="2:8" ht="18" customHeight="1" x14ac:dyDescent="0.3">
      <c r="B27" s="210" t="s">
        <v>95</v>
      </c>
      <c r="C27" s="211"/>
      <c r="D27" s="212"/>
      <c r="E27" s="212"/>
      <c r="F27" s="212"/>
      <c r="G27" s="213"/>
      <c r="H27" s="102">
        <v>22.32</v>
      </c>
    </row>
    <row r="28" spans="2:8" ht="18" customHeight="1" x14ac:dyDescent="0.3">
      <c r="B28" s="103"/>
      <c r="C28" s="104"/>
      <c r="D28" s="77"/>
      <c r="E28" s="105"/>
      <c r="F28" s="106"/>
      <c r="G28" s="105"/>
      <c r="H28" s="107"/>
    </row>
    <row r="29" spans="2:8" ht="18" customHeight="1" x14ac:dyDescent="0.3">
      <c r="B29" s="225" t="s">
        <v>96</v>
      </c>
      <c r="C29" s="226"/>
      <c r="D29" s="227"/>
      <c r="E29" s="227"/>
      <c r="F29" s="227"/>
      <c r="G29" s="227"/>
      <c r="H29" s="228"/>
    </row>
    <row r="30" spans="2:8" ht="22.5" customHeight="1" x14ac:dyDescent="0.3">
      <c r="B30" s="214" t="s">
        <v>13</v>
      </c>
      <c r="C30" s="215"/>
      <c r="D30" s="123" t="s">
        <v>14</v>
      </c>
      <c r="E30" s="124" t="s">
        <v>79</v>
      </c>
      <c r="F30" s="124" t="s">
        <v>97</v>
      </c>
      <c r="G30" s="124" t="s">
        <v>98</v>
      </c>
      <c r="H30" s="125" t="s">
        <v>99</v>
      </c>
    </row>
    <row r="31" spans="2:8" ht="18" customHeight="1" x14ac:dyDescent="0.3">
      <c r="B31" s="229"/>
      <c r="C31" s="230"/>
      <c r="D31" s="126"/>
      <c r="E31" s="127"/>
      <c r="F31" s="128"/>
      <c r="G31" s="128"/>
      <c r="H31" s="121"/>
    </row>
    <row r="32" spans="2:8" ht="18" customHeight="1" x14ac:dyDescent="0.3">
      <c r="B32" s="231"/>
      <c r="C32" s="232"/>
      <c r="D32" s="129"/>
      <c r="E32" s="130"/>
      <c r="F32" s="131"/>
      <c r="G32" s="131"/>
      <c r="H32" s="101"/>
    </row>
    <row r="33" spans="1:17" ht="18" customHeight="1" x14ac:dyDescent="0.3">
      <c r="B33" s="210" t="s">
        <v>100</v>
      </c>
      <c r="C33" s="211"/>
      <c r="D33" s="212"/>
      <c r="E33" s="212"/>
      <c r="F33" s="212"/>
      <c r="G33" s="213"/>
      <c r="H33" s="102">
        <v>0</v>
      </c>
    </row>
    <row r="34" spans="1:17" ht="16.5" thickBot="1" x14ac:dyDescent="0.35">
      <c r="B34" s="132" t="s">
        <v>101</v>
      </c>
      <c r="C34" s="104"/>
      <c r="D34" s="104"/>
      <c r="E34" s="104"/>
      <c r="F34" s="104"/>
      <c r="G34" s="104"/>
      <c r="H34" s="133"/>
    </row>
    <row r="35" spans="1:17" x14ac:dyDescent="0.3">
      <c r="A35" s="88"/>
      <c r="B35" s="115"/>
      <c r="C35" s="116"/>
      <c r="D35" s="134"/>
      <c r="E35" s="135" t="s">
        <v>102</v>
      </c>
      <c r="F35" s="136"/>
      <c r="G35" s="136"/>
      <c r="H35" s="137">
        <f>ROUND(H13+H21+H27+H33,4)</f>
        <v>24.66</v>
      </c>
      <c r="I35" s="89"/>
      <c r="L35" s="138"/>
      <c r="M35" s="138"/>
      <c r="N35" s="138"/>
      <c r="O35" s="138"/>
      <c r="P35" s="138"/>
      <c r="Q35" s="138"/>
    </row>
    <row r="36" spans="1:17" x14ac:dyDescent="0.3">
      <c r="A36" s="88"/>
      <c r="B36" s="139"/>
      <c r="C36" s="140"/>
      <c r="D36" s="140"/>
      <c r="E36" s="141" t="s">
        <v>103</v>
      </c>
      <c r="F36" s="142"/>
      <c r="G36" s="142" t="s">
        <v>104</v>
      </c>
      <c r="H36" s="143">
        <f>ROUND(G36*H35,2)</f>
        <v>4.93</v>
      </c>
      <c r="I36" s="89"/>
      <c r="L36" s="144"/>
      <c r="M36" s="144"/>
      <c r="N36" s="144"/>
      <c r="O36" s="144"/>
      <c r="P36" s="144"/>
      <c r="Q36" s="144"/>
    </row>
    <row r="37" spans="1:17" x14ac:dyDescent="0.3">
      <c r="A37" s="88"/>
      <c r="B37" s="145"/>
      <c r="C37" s="146"/>
      <c r="D37" s="77"/>
      <c r="E37" s="147" t="s">
        <v>105</v>
      </c>
      <c r="F37" s="148"/>
      <c r="G37" s="148"/>
      <c r="H37" s="149"/>
      <c r="I37" s="89"/>
    </row>
    <row r="38" spans="1:17" ht="16.5" thickBot="1" x14ac:dyDescent="0.35">
      <c r="A38" s="88"/>
      <c r="B38" s="208" t="s">
        <v>60</v>
      </c>
      <c r="C38" s="209"/>
      <c r="D38" s="209"/>
      <c r="E38" s="150" t="s">
        <v>106</v>
      </c>
      <c r="F38" s="151"/>
      <c r="G38" s="152"/>
      <c r="H38" s="153">
        <f>H35+H36</f>
        <v>29.59</v>
      </c>
      <c r="I38" s="89"/>
    </row>
    <row r="39" spans="1:17" ht="16.5" thickBot="1" x14ac:dyDescent="0.35">
      <c r="A39" s="88"/>
      <c r="B39" s="206" t="s">
        <v>62</v>
      </c>
      <c r="C39" s="207"/>
      <c r="D39" s="207"/>
      <c r="E39" s="154" t="s">
        <v>107</v>
      </c>
      <c r="F39" s="155"/>
      <c r="G39" s="155"/>
      <c r="H39" s="156">
        <f>ROUND(H38,2)</f>
        <v>29.59</v>
      </c>
      <c r="I39" s="89"/>
    </row>
    <row r="40" spans="1:17" x14ac:dyDescent="0.3">
      <c r="B40" s="157"/>
      <c r="C40" s="157"/>
      <c r="D40" s="158"/>
      <c r="E40" s="159"/>
      <c r="F40" s="160"/>
      <c r="G40" s="159"/>
      <c r="H40" s="159"/>
    </row>
    <row r="41" spans="1:17" x14ac:dyDescent="0.3">
      <c r="B41" s="161"/>
      <c r="C41" s="161"/>
      <c r="D41" s="162"/>
      <c r="E41" s="163"/>
      <c r="F41" s="163"/>
      <c r="G41" s="163"/>
      <c r="H41" s="163"/>
    </row>
  </sheetData>
  <sheetProtection formatCells="0" formatColumns="0" formatRows="0" insertColumns="0" insertRows="0" insertHyperlinks="0" deleteColumns="0" deleteRows="0" sort="0" autoFilter="0" pivotTables="0"/>
  <mergeCells count="28">
    <mergeCell ref="B15:H15"/>
    <mergeCell ref="B2:H2"/>
    <mergeCell ref="B3:H3"/>
    <mergeCell ref="B8:H8"/>
    <mergeCell ref="B9:C9"/>
    <mergeCell ref="B10:C10"/>
    <mergeCell ref="B13:G13"/>
    <mergeCell ref="B4:H4"/>
    <mergeCell ref="B12:C12"/>
    <mergeCell ref="B11:C11"/>
    <mergeCell ref="B23:H23"/>
    <mergeCell ref="B21:G21"/>
    <mergeCell ref="B17:C17"/>
    <mergeCell ref="B20:C20"/>
    <mergeCell ref="B16:C16"/>
    <mergeCell ref="B18:C18"/>
    <mergeCell ref="B19:C19"/>
    <mergeCell ref="B25:D25"/>
    <mergeCell ref="B27:G27"/>
    <mergeCell ref="B24:D24"/>
    <mergeCell ref="B29:H29"/>
    <mergeCell ref="B31:C31"/>
    <mergeCell ref="B39:D39"/>
    <mergeCell ref="B38:D38"/>
    <mergeCell ref="B33:G33"/>
    <mergeCell ref="B30:C30"/>
    <mergeCell ref="B26:D26"/>
    <mergeCell ref="B32:C32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2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147</v>
      </c>
    </row>
    <row r="6" spans="1:17" x14ac:dyDescent="0.3">
      <c r="B6" s="82" t="s">
        <v>75</v>
      </c>
      <c r="C6" s="83" t="s">
        <v>29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148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0.16</v>
      </c>
    </row>
    <row r="11" spans="1:17" ht="18" customHeight="1" x14ac:dyDescent="0.3">
      <c r="B11" s="248" t="s">
        <v>122</v>
      </c>
      <c r="C11" s="220"/>
      <c r="D11" s="111">
        <v>1</v>
      </c>
      <c r="E11" s="111">
        <v>3</v>
      </c>
      <c r="F11" s="111">
        <f>IF(ISNUMBER(D11),D11*E11,)</f>
        <v>3</v>
      </c>
      <c r="G11" s="111">
        <v>0.14000000000000001</v>
      </c>
      <c r="H11" s="113">
        <v>0.42</v>
      </c>
    </row>
    <row r="12" spans="1:17" ht="18" customHeight="1" x14ac:dyDescent="0.3">
      <c r="B12" s="235"/>
      <c r="C12" s="236"/>
      <c r="D12" s="99"/>
      <c r="E12" s="99"/>
      <c r="F12" s="99"/>
      <c r="G12" s="100"/>
      <c r="H12" s="101"/>
    </row>
    <row r="13" spans="1:17" ht="18" customHeight="1" x14ac:dyDescent="0.3">
      <c r="B13" s="210" t="s">
        <v>86</v>
      </c>
      <c r="C13" s="211"/>
      <c r="D13" s="212"/>
      <c r="E13" s="212"/>
      <c r="F13" s="212"/>
      <c r="G13" s="213"/>
      <c r="H13" s="102">
        <v>0.57999999999999996</v>
      </c>
    </row>
    <row r="14" spans="1:17" ht="18" customHeight="1" x14ac:dyDescent="0.3">
      <c r="B14" s="103"/>
      <c r="C14" s="104"/>
      <c r="D14" s="77"/>
      <c r="E14" s="105"/>
      <c r="F14" s="106"/>
      <c r="G14" s="105"/>
      <c r="H14" s="107"/>
    </row>
    <row r="15" spans="1:17" ht="18" customHeight="1" x14ac:dyDescent="0.3">
      <c r="B15" s="225" t="s">
        <v>87</v>
      </c>
      <c r="C15" s="226"/>
      <c r="D15" s="227"/>
      <c r="E15" s="227"/>
      <c r="F15" s="227"/>
      <c r="G15" s="227"/>
      <c r="H15" s="228"/>
    </row>
    <row r="16" spans="1:17" ht="20.25" customHeight="1" x14ac:dyDescent="0.3">
      <c r="B16" s="214" t="s">
        <v>13</v>
      </c>
      <c r="C16" s="215"/>
      <c r="D16" s="108" t="s">
        <v>79</v>
      </c>
      <c r="E16" s="91" t="s">
        <v>88</v>
      </c>
      <c r="F16" s="109" t="s">
        <v>81</v>
      </c>
      <c r="G16" s="108" t="s">
        <v>82</v>
      </c>
      <c r="H16" s="110" t="s">
        <v>83</v>
      </c>
    </row>
    <row r="17" spans="2:8" ht="18" customHeight="1" x14ac:dyDescent="0.3">
      <c r="B17" s="233" t="s">
        <v>89</v>
      </c>
      <c r="C17" s="234"/>
      <c r="D17" s="97">
        <v>4</v>
      </c>
      <c r="E17" s="97">
        <v>4.34</v>
      </c>
      <c r="F17" s="97">
        <f>IF(ISNUMBER(D17),D17*E17,)</f>
        <v>17.36</v>
      </c>
      <c r="G17" s="97">
        <v>0.14000000000000001</v>
      </c>
      <c r="H17" s="98">
        <v>2.4300000000000002</v>
      </c>
    </row>
    <row r="18" spans="2:8" ht="18" customHeight="1" x14ac:dyDescent="0.3">
      <c r="B18" s="248" t="s">
        <v>136</v>
      </c>
      <c r="C18" s="249"/>
      <c r="D18" s="111">
        <v>1</v>
      </c>
      <c r="E18" s="112">
        <v>4.3899999999999997</v>
      </c>
      <c r="F18" s="111">
        <f>IF(ISNUMBER(D18),D18*E18,)</f>
        <v>4.3899999999999997</v>
      </c>
      <c r="G18" s="111">
        <v>0.14000000000000001</v>
      </c>
      <c r="H18" s="113">
        <v>0.61</v>
      </c>
    </row>
    <row r="19" spans="2:8" ht="18" customHeight="1" x14ac:dyDescent="0.3">
      <c r="B19" s="248" t="s">
        <v>90</v>
      </c>
      <c r="C19" s="249"/>
      <c r="D19" s="111">
        <v>0.1</v>
      </c>
      <c r="E19" s="112">
        <v>4.87</v>
      </c>
      <c r="F19" s="111">
        <f>IF(ISNUMBER(D19),D19*E19,)</f>
        <v>0.48700000000000004</v>
      </c>
      <c r="G19" s="111">
        <v>0.14000000000000001</v>
      </c>
      <c r="H19" s="113">
        <v>7.0000000000000007E-2</v>
      </c>
    </row>
    <row r="20" spans="2:8" ht="18" customHeight="1" x14ac:dyDescent="0.3">
      <c r="B20" s="235"/>
      <c r="C20" s="236"/>
      <c r="D20" s="99"/>
      <c r="E20" s="114"/>
      <c r="F20" s="99"/>
      <c r="G20" s="99"/>
      <c r="H20" s="101"/>
    </row>
    <row r="21" spans="2:8" ht="18" customHeight="1" x14ac:dyDescent="0.3">
      <c r="B21" s="210" t="s">
        <v>91</v>
      </c>
      <c r="C21" s="211"/>
      <c r="D21" s="212"/>
      <c r="E21" s="212"/>
      <c r="F21" s="212"/>
      <c r="G21" s="213"/>
      <c r="H21" s="102">
        <v>3.11</v>
      </c>
    </row>
    <row r="22" spans="2:8" ht="18" customHeight="1" x14ac:dyDescent="0.3">
      <c r="B22" s="115"/>
      <c r="C22" s="116"/>
      <c r="D22" s="116"/>
      <c r="E22" s="116"/>
      <c r="F22" s="116"/>
      <c r="G22" s="116"/>
      <c r="H22" s="117"/>
    </row>
    <row r="23" spans="2:8" ht="18" customHeight="1" x14ac:dyDescent="0.3">
      <c r="B23" s="225" t="s">
        <v>92</v>
      </c>
      <c r="C23" s="226"/>
      <c r="D23" s="227"/>
      <c r="E23" s="227"/>
      <c r="F23" s="227"/>
      <c r="G23" s="227"/>
      <c r="H23" s="228"/>
    </row>
    <row r="24" spans="2:8" ht="20.25" customHeight="1" x14ac:dyDescent="0.3">
      <c r="B24" s="222" t="s">
        <v>13</v>
      </c>
      <c r="C24" s="223"/>
      <c r="D24" s="224"/>
      <c r="E24" s="118" t="s">
        <v>14</v>
      </c>
      <c r="F24" s="90" t="s">
        <v>79</v>
      </c>
      <c r="G24" s="91" t="s">
        <v>93</v>
      </c>
      <c r="H24" s="92" t="s">
        <v>94</v>
      </c>
    </row>
    <row r="25" spans="2:8" ht="18" customHeight="1" x14ac:dyDescent="0.3">
      <c r="B25" s="250" t="s">
        <v>149</v>
      </c>
      <c r="C25" s="245"/>
      <c r="D25" s="251"/>
      <c r="E25" s="164" t="s">
        <v>150</v>
      </c>
      <c r="F25" s="165">
        <v>1.2</v>
      </c>
      <c r="G25" s="165">
        <v>10</v>
      </c>
      <c r="H25" s="98">
        <v>12</v>
      </c>
    </row>
    <row r="26" spans="2:8" ht="18" customHeight="1" x14ac:dyDescent="0.3">
      <c r="B26" s="219" t="s">
        <v>151</v>
      </c>
      <c r="C26" s="220"/>
      <c r="D26" s="221"/>
      <c r="E26" s="166" t="s">
        <v>25</v>
      </c>
      <c r="F26" s="167">
        <v>0.05</v>
      </c>
      <c r="G26" s="167">
        <v>1.6</v>
      </c>
      <c r="H26" s="113">
        <v>0.08</v>
      </c>
    </row>
    <row r="27" spans="2:8" ht="18" customHeight="1" x14ac:dyDescent="0.3">
      <c r="B27" s="216"/>
      <c r="C27" s="217"/>
      <c r="D27" s="218"/>
      <c r="E27" s="122"/>
      <c r="F27" s="114"/>
      <c r="G27" s="114"/>
      <c r="H27" s="101"/>
    </row>
    <row r="28" spans="2:8" ht="18" customHeight="1" x14ac:dyDescent="0.3">
      <c r="B28" s="210" t="s">
        <v>95</v>
      </c>
      <c r="C28" s="211"/>
      <c r="D28" s="212"/>
      <c r="E28" s="212"/>
      <c r="F28" s="212"/>
      <c r="G28" s="213"/>
      <c r="H28" s="102">
        <v>12.08</v>
      </c>
    </row>
    <row r="29" spans="2:8" ht="18" customHeight="1" x14ac:dyDescent="0.3">
      <c r="B29" s="103"/>
      <c r="C29" s="104"/>
      <c r="D29" s="77"/>
      <c r="E29" s="105"/>
      <c r="F29" s="106"/>
      <c r="G29" s="105"/>
      <c r="H29" s="107"/>
    </row>
    <row r="30" spans="2:8" ht="18" customHeight="1" x14ac:dyDescent="0.3">
      <c r="B30" s="225" t="s">
        <v>96</v>
      </c>
      <c r="C30" s="226"/>
      <c r="D30" s="227"/>
      <c r="E30" s="227"/>
      <c r="F30" s="227"/>
      <c r="G30" s="227"/>
      <c r="H30" s="228"/>
    </row>
    <row r="31" spans="2:8" ht="22.5" customHeight="1" x14ac:dyDescent="0.3">
      <c r="B31" s="214" t="s">
        <v>13</v>
      </c>
      <c r="C31" s="215"/>
      <c r="D31" s="123" t="s">
        <v>14</v>
      </c>
      <c r="E31" s="124" t="s">
        <v>79</v>
      </c>
      <c r="F31" s="124" t="s">
        <v>97</v>
      </c>
      <c r="G31" s="124" t="s">
        <v>98</v>
      </c>
      <c r="H31" s="125" t="s">
        <v>99</v>
      </c>
    </row>
    <row r="32" spans="2:8" ht="18" customHeight="1" x14ac:dyDescent="0.3">
      <c r="B32" s="229"/>
      <c r="C32" s="230"/>
      <c r="D32" s="126"/>
      <c r="E32" s="127"/>
      <c r="F32" s="128"/>
      <c r="G32" s="128"/>
      <c r="H32" s="121"/>
    </row>
    <row r="33" spans="1:17" ht="18" customHeight="1" x14ac:dyDescent="0.3">
      <c r="B33" s="231"/>
      <c r="C33" s="232"/>
      <c r="D33" s="129"/>
      <c r="E33" s="130"/>
      <c r="F33" s="131"/>
      <c r="G33" s="131"/>
      <c r="H33" s="101"/>
    </row>
    <row r="34" spans="1:17" ht="18" customHeight="1" x14ac:dyDescent="0.3">
      <c r="B34" s="210" t="s">
        <v>100</v>
      </c>
      <c r="C34" s="211"/>
      <c r="D34" s="212"/>
      <c r="E34" s="212"/>
      <c r="F34" s="212"/>
      <c r="G34" s="213"/>
      <c r="H34" s="102">
        <v>0</v>
      </c>
    </row>
    <row r="35" spans="1:17" ht="16.5" thickBot="1" x14ac:dyDescent="0.35">
      <c r="B35" s="132" t="s">
        <v>101</v>
      </c>
      <c r="C35" s="104"/>
      <c r="D35" s="104"/>
      <c r="E35" s="104"/>
      <c r="F35" s="104"/>
      <c r="G35" s="104"/>
      <c r="H35" s="133"/>
    </row>
    <row r="36" spans="1:17" x14ac:dyDescent="0.3">
      <c r="A36" s="88"/>
      <c r="B36" s="115"/>
      <c r="C36" s="116"/>
      <c r="D36" s="134"/>
      <c r="E36" s="135" t="s">
        <v>102</v>
      </c>
      <c r="F36" s="136"/>
      <c r="G36" s="136"/>
      <c r="H36" s="137">
        <f>ROUND(H13+H21+H28+H34,4)</f>
        <v>15.77</v>
      </c>
      <c r="I36" s="89"/>
      <c r="L36" s="138"/>
      <c r="M36" s="138"/>
      <c r="N36" s="138"/>
      <c r="O36" s="138"/>
      <c r="P36" s="138"/>
      <c r="Q36" s="138"/>
    </row>
    <row r="37" spans="1:17" x14ac:dyDescent="0.3">
      <c r="A37" s="88"/>
      <c r="B37" s="139"/>
      <c r="C37" s="140"/>
      <c r="D37" s="140"/>
      <c r="E37" s="141" t="s">
        <v>103</v>
      </c>
      <c r="F37" s="142"/>
      <c r="G37" s="142" t="s">
        <v>104</v>
      </c>
      <c r="H37" s="143">
        <f>ROUND(G37*H36,2)</f>
        <v>3.15</v>
      </c>
      <c r="I37" s="89"/>
      <c r="L37" s="144"/>
      <c r="M37" s="144"/>
      <c r="N37" s="144"/>
      <c r="O37" s="144"/>
      <c r="P37" s="144"/>
      <c r="Q37" s="144"/>
    </row>
    <row r="38" spans="1:17" x14ac:dyDescent="0.3">
      <c r="A38" s="88"/>
      <c r="B38" s="145"/>
      <c r="C38" s="146"/>
      <c r="D38" s="77"/>
      <c r="E38" s="147" t="s">
        <v>105</v>
      </c>
      <c r="F38" s="148"/>
      <c r="G38" s="148"/>
      <c r="H38" s="149"/>
      <c r="I38" s="89"/>
    </row>
    <row r="39" spans="1:17" ht="16.5" thickBot="1" x14ac:dyDescent="0.35">
      <c r="A39" s="88"/>
      <c r="B39" s="208" t="s">
        <v>60</v>
      </c>
      <c r="C39" s="209"/>
      <c r="D39" s="209"/>
      <c r="E39" s="150" t="s">
        <v>106</v>
      </c>
      <c r="F39" s="151"/>
      <c r="G39" s="152"/>
      <c r="H39" s="153">
        <f>H36+H37</f>
        <v>18.919999999999998</v>
      </c>
      <c r="I39" s="89"/>
    </row>
    <row r="40" spans="1:17" ht="16.5" thickBot="1" x14ac:dyDescent="0.35">
      <c r="A40" s="88"/>
      <c r="B40" s="206" t="s">
        <v>62</v>
      </c>
      <c r="C40" s="207"/>
      <c r="D40" s="207"/>
      <c r="E40" s="154" t="s">
        <v>107</v>
      </c>
      <c r="F40" s="155"/>
      <c r="G40" s="155"/>
      <c r="H40" s="156">
        <f>ROUND(H39,2)</f>
        <v>18.920000000000002</v>
      </c>
      <c r="I40" s="89"/>
    </row>
    <row r="41" spans="1:17" x14ac:dyDescent="0.3">
      <c r="B41" s="157"/>
      <c r="C41" s="157"/>
      <c r="D41" s="158"/>
      <c r="E41" s="159"/>
      <c r="F41" s="160"/>
      <c r="G41" s="159"/>
      <c r="H41" s="159"/>
    </row>
    <row r="42" spans="1:17" x14ac:dyDescent="0.3">
      <c r="B42" s="161"/>
      <c r="C42" s="161"/>
      <c r="D42" s="162"/>
      <c r="E42" s="163"/>
      <c r="F42" s="163"/>
      <c r="G42" s="163"/>
      <c r="H42" s="163"/>
    </row>
  </sheetData>
  <sheetProtection formatCells="0" formatColumns="0" formatRows="0" insertColumns="0" insertRows="0" insertHyperlinks="0" deleteColumns="0" deleteRows="0" sort="0" autoFilter="0" pivotTables="0"/>
  <mergeCells count="29">
    <mergeCell ref="B16:C16"/>
    <mergeCell ref="B15:H15"/>
    <mergeCell ref="B2:H2"/>
    <mergeCell ref="B3:H3"/>
    <mergeCell ref="B8:H8"/>
    <mergeCell ref="B9:C9"/>
    <mergeCell ref="B10:C10"/>
    <mergeCell ref="B13:G13"/>
    <mergeCell ref="B4:H4"/>
    <mergeCell ref="B12:C12"/>
    <mergeCell ref="B11:C11"/>
    <mergeCell ref="B23:H23"/>
    <mergeCell ref="B21:G21"/>
    <mergeCell ref="B26:D26"/>
    <mergeCell ref="B17:C17"/>
    <mergeCell ref="B20:C20"/>
    <mergeCell ref="B18:C18"/>
    <mergeCell ref="B19:C19"/>
    <mergeCell ref="B25:D25"/>
    <mergeCell ref="B28:G28"/>
    <mergeCell ref="B24:D24"/>
    <mergeCell ref="B30:H30"/>
    <mergeCell ref="B32:C32"/>
    <mergeCell ref="B40:D40"/>
    <mergeCell ref="B39:D39"/>
    <mergeCell ref="B34:G34"/>
    <mergeCell ref="B31:C31"/>
    <mergeCell ref="B27:D27"/>
    <mergeCell ref="B33:C33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152</v>
      </c>
    </row>
    <row r="6" spans="1:17" x14ac:dyDescent="0.3">
      <c r="B6" s="82" t="s">
        <v>75</v>
      </c>
      <c r="C6" s="83" t="s">
        <v>30</v>
      </c>
      <c r="D6" s="79"/>
      <c r="E6" s="80"/>
      <c r="F6" s="80"/>
      <c r="G6" s="84" t="s">
        <v>14</v>
      </c>
      <c r="H6" s="85" t="s">
        <v>31</v>
      </c>
    </row>
    <row r="7" spans="1:17" x14ac:dyDescent="0.3">
      <c r="B7" s="86" t="s">
        <v>76</v>
      </c>
      <c r="C7" s="79" t="s">
        <v>153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154</v>
      </c>
      <c r="C10" s="245"/>
      <c r="D10" s="97">
        <v>1</v>
      </c>
      <c r="E10" s="97">
        <v>35</v>
      </c>
      <c r="F10" s="97">
        <f>IF(ISNUMBER(D10),D10*E10,)</f>
        <v>35</v>
      </c>
      <c r="G10" s="97">
        <v>5.1000000000000004E-3</v>
      </c>
      <c r="H10" s="98">
        <v>0.18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0.18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127</v>
      </c>
      <c r="C16" s="234"/>
      <c r="D16" s="97">
        <v>1</v>
      </c>
      <c r="E16" s="97">
        <v>6.38</v>
      </c>
      <c r="F16" s="97">
        <f>IF(ISNUMBER(D16),D16*E16,)</f>
        <v>6.38</v>
      </c>
      <c r="G16" s="97">
        <v>5.1000000000000004E-3</v>
      </c>
      <c r="H16" s="98">
        <v>0.03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0.03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19"/>
      <c r="C22" s="220"/>
      <c r="D22" s="221"/>
      <c r="E22" s="119"/>
      <c r="F22" s="120"/>
      <c r="G22" s="120"/>
      <c r="H22" s="121"/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0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0.21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0.04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0.25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0.25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1:D21"/>
    <mergeCell ref="B26:H26"/>
    <mergeCell ref="B28:C28"/>
    <mergeCell ref="B29:C29"/>
    <mergeCell ref="B36:D36"/>
    <mergeCell ref="B35:D35"/>
    <mergeCell ref="B30:G30"/>
    <mergeCell ref="B27:C27"/>
    <mergeCell ref="B23:D23"/>
    <mergeCell ref="B24:G24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0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155</v>
      </c>
    </row>
    <row r="6" spans="1:17" x14ac:dyDescent="0.3">
      <c r="B6" s="82" t="s">
        <v>75</v>
      </c>
      <c r="C6" s="83" t="s">
        <v>32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156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3.65</v>
      </c>
    </row>
    <row r="11" spans="1:17" ht="18" customHeight="1" x14ac:dyDescent="0.3">
      <c r="B11" s="248" t="s">
        <v>157</v>
      </c>
      <c r="C11" s="220"/>
      <c r="D11" s="111">
        <v>1</v>
      </c>
      <c r="E11" s="111">
        <v>4</v>
      </c>
      <c r="F11" s="111">
        <f>IF(ISNUMBER(D11),D11*E11,)</f>
        <v>4</v>
      </c>
      <c r="G11" s="111">
        <v>1.2377499999999999</v>
      </c>
      <c r="H11" s="113">
        <v>4.95</v>
      </c>
    </row>
    <row r="12" spans="1:17" ht="18" customHeight="1" x14ac:dyDescent="0.3">
      <c r="B12" s="248" t="s">
        <v>158</v>
      </c>
      <c r="C12" s="220"/>
      <c r="D12" s="111">
        <v>1</v>
      </c>
      <c r="E12" s="111">
        <v>3.5</v>
      </c>
      <c r="F12" s="111">
        <f>IF(ISNUMBER(D12),D12*E12,)</f>
        <v>3.5</v>
      </c>
      <c r="G12" s="111">
        <v>1.2377499999999999</v>
      </c>
      <c r="H12" s="113">
        <v>4.33</v>
      </c>
    </row>
    <row r="13" spans="1:17" ht="18" customHeight="1" x14ac:dyDescent="0.3">
      <c r="B13" s="235"/>
      <c r="C13" s="236"/>
      <c r="D13" s="99"/>
      <c r="E13" s="99"/>
      <c r="F13" s="99"/>
      <c r="G13" s="100"/>
      <c r="H13" s="101"/>
    </row>
    <row r="14" spans="1:17" ht="18" customHeight="1" x14ac:dyDescent="0.3">
      <c r="B14" s="210" t="s">
        <v>86</v>
      </c>
      <c r="C14" s="211"/>
      <c r="D14" s="212"/>
      <c r="E14" s="212"/>
      <c r="F14" s="212"/>
      <c r="G14" s="213"/>
      <c r="H14" s="102">
        <v>12.93</v>
      </c>
    </row>
    <row r="15" spans="1:17" ht="18" customHeight="1" x14ac:dyDescent="0.3">
      <c r="B15" s="103"/>
      <c r="C15" s="104"/>
      <c r="D15" s="77"/>
      <c r="E15" s="105"/>
      <c r="F15" s="106"/>
      <c r="G15" s="105"/>
      <c r="H15" s="107"/>
    </row>
    <row r="16" spans="1:17" ht="18" customHeight="1" x14ac:dyDescent="0.3">
      <c r="B16" s="225" t="s">
        <v>87</v>
      </c>
      <c r="C16" s="226"/>
      <c r="D16" s="227"/>
      <c r="E16" s="227"/>
      <c r="F16" s="227"/>
      <c r="G16" s="227"/>
      <c r="H16" s="228"/>
    </row>
    <row r="17" spans="2:8" ht="20.25" customHeight="1" x14ac:dyDescent="0.3">
      <c r="B17" s="214" t="s">
        <v>13</v>
      </c>
      <c r="C17" s="215"/>
      <c r="D17" s="108" t="s">
        <v>79</v>
      </c>
      <c r="E17" s="91" t="s">
        <v>88</v>
      </c>
      <c r="F17" s="109" t="s">
        <v>81</v>
      </c>
      <c r="G17" s="108" t="s">
        <v>82</v>
      </c>
      <c r="H17" s="110" t="s">
        <v>83</v>
      </c>
    </row>
    <row r="18" spans="2:8" ht="18" customHeight="1" x14ac:dyDescent="0.3">
      <c r="B18" s="233" t="s">
        <v>89</v>
      </c>
      <c r="C18" s="234"/>
      <c r="D18" s="97">
        <v>10</v>
      </c>
      <c r="E18" s="97">
        <v>4.34</v>
      </c>
      <c r="F18" s="97">
        <f>IF(ISNUMBER(D18),D18*E18,)</f>
        <v>43.4</v>
      </c>
      <c r="G18" s="97">
        <v>1.2377499999999999</v>
      </c>
      <c r="H18" s="98">
        <v>53.72</v>
      </c>
    </row>
    <row r="19" spans="2:8" ht="18" customHeight="1" x14ac:dyDescent="0.3">
      <c r="B19" s="248" t="s">
        <v>90</v>
      </c>
      <c r="C19" s="249"/>
      <c r="D19" s="111">
        <v>0.5</v>
      </c>
      <c r="E19" s="112">
        <v>4.87</v>
      </c>
      <c r="F19" s="111">
        <f>IF(ISNUMBER(D19),D19*E19,)</f>
        <v>2.4350000000000001</v>
      </c>
      <c r="G19" s="111">
        <v>1.2377499999999999</v>
      </c>
      <c r="H19" s="113">
        <v>3.01</v>
      </c>
    </row>
    <row r="20" spans="2:8" ht="18" customHeight="1" x14ac:dyDescent="0.3">
      <c r="B20" s="248" t="s">
        <v>126</v>
      </c>
      <c r="C20" s="249"/>
      <c r="D20" s="111">
        <v>2</v>
      </c>
      <c r="E20" s="112">
        <v>4.3899999999999997</v>
      </c>
      <c r="F20" s="111">
        <f>IF(ISNUMBER(D20),D20*E20,)</f>
        <v>8.7799999999999994</v>
      </c>
      <c r="G20" s="111">
        <v>1.2377499999999999</v>
      </c>
      <c r="H20" s="113">
        <v>10.87</v>
      </c>
    </row>
    <row r="21" spans="2:8" ht="18" customHeight="1" x14ac:dyDescent="0.3">
      <c r="B21" s="248" t="s">
        <v>159</v>
      </c>
      <c r="C21" s="249"/>
      <c r="D21" s="111">
        <v>1</v>
      </c>
      <c r="E21" s="112">
        <v>4.3899999999999997</v>
      </c>
      <c r="F21" s="111">
        <f>IF(ISNUMBER(D21),D21*E21,)</f>
        <v>4.3899999999999997</v>
      </c>
      <c r="G21" s="111">
        <v>1.2377499999999999</v>
      </c>
      <c r="H21" s="113">
        <v>5.43</v>
      </c>
    </row>
    <row r="22" spans="2:8" ht="18" customHeight="1" x14ac:dyDescent="0.3">
      <c r="B22" s="235"/>
      <c r="C22" s="236"/>
      <c r="D22" s="99"/>
      <c r="E22" s="114"/>
      <c r="F22" s="99"/>
      <c r="G22" s="99"/>
      <c r="H22" s="101"/>
    </row>
    <row r="23" spans="2:8" ht="18" customHeight="1" x14ac:dyDescent="0.3">
      <c r="B23" s="210" t="s">
        <v>91</v>
      </c>
      <c r="C23" s="211"/>
      <c r="D23" s="212"/>
      <c r="E23" s="212"/>
      <c r="F23" s="212"/>
      <c r="G23" s="213"/>
      <c r="H23" s="102">
        <v>73.03</v>
      </c>
    </row>
    <row r="24" spans="2:8" ht="18" customHeight="1" x14ac:dyDescent="0.3">
      <c r="B24" s="115"/>
      <c r="C24" s="116"/>
      <c r="D24" s="116"/>
      <c r="E24" s="116"/>
      <c r="F24" s="116"/>
      <c r="G24" s="116"/>
      <c r="H24" s="117"/>
    </row>
    <row r="25" spans="2:8" ht="18" customHeight="1" x14ac:dyDescent="0.3">
      <c r="B25" s="225" t="s">
        <v>92</v>
      </c>
      <c r="C25" s="226"/>
      <c r="D25" s="227"/>
      <c r="E25" s="227"/>
      <c r="F25" s="227"/>
      <c r="G25" s="227"/>
      <c r="H25" s="228"/>
    </row>
    <row r="26" spans="2:8" ht="20.25" customHeight="1" x14ac:dyDescent="0.3">
      <c r="B26" s="222" t="s">
        <v>13</v>
      </c>
      <c r="C26" s="223"/>
      <c r="D26" s="224"/>
      <c r="E26" s="118" t="s">
        <v>14</v>
      </c>
      <c r="F26" s="90" t="s">
        <v>79</v>
      </c>
      <c r="G26" s="91" t="s">
        <v>93</v>
      </c>
      <c r="H26" s="92" t="s">
        <v>94</v>
      </c>
    </row>
    <row r="27" spans="2:8" ht="18" customHeight="1" x14ac:dyDescent="0.3">
      <c r="B27" s="250" t="s">
        <v>151</v>
      </c>
      <c r="C27" s="245"/>
      <c r="D27" s="251"/>
      <c r="E27" s="164" t="s">
        <v>25</v>
      </c>
      <c r="F27" s="165">
        <v>0.1</v>
      </c>
      <c r="G27" s="165">
        <v>1.6</v>
      </c>
      <c r="H27" s="98">
        <v>0.16</v>
      </c>
    </row>
    <row r="28" spans="2:8" ht="18" customHeight="1" x14ac:dyDescent="0.3">
      <c r="B28" s="219" t="s">
        <v>160</v>
      </c>
      <c r="C28" s="220"/>
      <c r="D28" s="221"/>
      <c r="E28" s="166" t="s">
        <v>38</v>
      </c>
      <c r="F28" s="167">
        <v>405</v>
      </c>
      <c r="G28" s="167">
        <v>0.17</v>
      </c>
      <c r="H28" s="113">
        <v>68.849999999999994</v>
      </c>
    </row>
    <row r="29" spans="2:8" ht="18" customHeight="1" x14ac:dyDescent="0.3">
      <c r="B29" s="219" t="s">
        <v>115</v>
      </c>
      <c r="C29" s="220"/>
      <c r="D29" s="221"/>
      <c r="E29" s="166" t="s">
        <v>34</v>
      </c>
      <c r="F29" s="167">
        <v>1</v>
      </c>
      <c r="G29" s="167">
        <v>1.62</v>
      </c>
      <c r="H29" s="113">
        <v>1.62</v>
      </c>
    </row>
    <row r="30" spans="2:8" ht="18" customHeight="1" x14ac:dyDescent="0.3">
      <c r="B30" s="219" t="s">
        <v>161</v>
      </c>
      <c r="C30" s="220"/>
      <c r="D30" s="221"/>
      <c r="E30" s="166" t="s">
        <v>46</v>
      </c>
      <c r="F30" s="167">
        <v>18</v>
      </c>
      <c r="G30" s="167">
        <v>1</v>
      </c>
      <c r="H30" s="113">
        <v>18</v>
      </c>
    </row>
    <row r="31" spans="2:8" ht="18" customHeight="1" x14ac:dyDescent="0.3">
      <c r="B31" s="219" t="s">
        <v>162</v>
      </c>
      <c r="C31" s="220"/>
      <c r="D31" s="221"/>
      <c r="E31" s="166" t="s">
        <v>46</v>
      </c>
      <c r="F31" s="167">
        <v>10</v>
      </c>
      <c r="G31" s="167">
        <v>0.8</v>
      </c>
      <c r="H31" s="113">
        <v>8</v>
      </c>
    </row>
    <row r="32" spans="2:8" ht="18" customHeight="1" x14ac:dyDescent="0.3">
      <c r="B32" s="219" t="s">
        <v>163</v>
      </c>
      <c r="C32" s="220"/>
      <c r="D32" s="221"/>
      <c r="E32" s="166" t="s">
        <v>38</v>
      </c>
      <c r="F32" s="167">
        <v>0.5</v>
      </c>
      <c r="G32" s="167">
        <v>2.3199999999999998</v>
      </c>
      <c r="H32" s="113">
        <v>1.1599999999999999</v>
      </c>
    </row>
    <row r="33" spans="1:17" ht="18" customHeight="1" x14ac:dyDescent="0.3">
      <c r="B33" s="219" t="s">
        <v>164</v>
      </c>
      <c r="C33" s="220"/>
      <c r="D33" s="221"/>
      <c r="E33" s="166" t="s">
        <v>25</v>
      </c>
      <c r="F33" s="167">
        <v>0.65</v>
      </c>
      <c r="G33" s="167">
        <v>19</v>
      </c>
      <c r="H33" s="113">
        <v>12.35</v>
      </c>
    </row>
    <row r="34" spans="1:17" ht="18" customHeight="1" x14ac:dyDescent="0.3">
      <c r="B34" s="219" t="s">
        <v>165</v>
      </c>
      <c r="C34" s="220"/>
      <c r="D34" s="221"/>
      <c r="E34" s="166" t="s">
        <v>25</v>
      </c>
      <c r="F34" s="167">
        <v>0.95</v>
      </c>
      <c r="G34" s="167">
        <v>27</v>
      </c>
      <c r="H34" s="113">
        <v>25.65</v>
      </c>
    </row>
    <row r="35" spans="1:17" ht="18" customHeight="1" x14ac:dyDescent="0.3">
      <c r="B35" s="216"/>
      <c r="C35" s="217"/>
      <c r="D35" s="218"/>
      <c r="E35" s="122"/>
      <c r="F35" s="114"/>
      <c r="G35" s="114"/>
      <c r="H35" s="101"/>
    </row>
    <row r="36" spans="1:17" ht="18" customHeight="1" x14ac:dyDescent="0.3">
      <c r="B36" s="210" t="s">
        <v>95</v>
      </c>
      <c r="C36" s="211"/>
      <c r="D36" s="212"/>
      <c r="E36" s="212"/>
      <c r="F36" s="212"/>
      <c r="G36" s="213"/>
      <c r="H36" s="102">
        <v>135.79</v>
      </c>
    </row>
    <row r="37" spans="1:17" ht="18" customHeight="1" x14ac:dyDescent="0.3">
      <c r="B37" s="103"/>
      <c r="C37" s="104"/>
      <c r="D37" s="77"/>
      <c r="E37" s="105"/>
      <c r="F37" s="106"/>
      <c r="G37" s="105"/>
      <c r="H37" s="107"/>
    </row>
    <row r="38" spans="1:17" ht="18" customHeight="1" x14ac:dyDescent="0.3">
      <c r="B38" s="225" t="s">
        <v>96</v>
      </c>
      <c r="C38" s="226"/>
      <c r="D38" s="227"/>
      <c r="E38" s="227"/>
      <c r="F38" s="227"/>
      <c r="G38" s="227"/>
      <c r="H38" s="228"/>
    </row>
    <row r="39" spans="1:17" ht="22.5" customHeight="1" x14ac:dyDescent="0.3">
      <c r="B39" s="214" t="s">
        <v>13</v>
      </c>
      <c r="C39" s="215"/>
      <c r="D39" s="123" t="s">
        <v>14</v>
      </c>
      <c r="E39" s="124" t="s">
        <v>79</v>
      </c>
      <c r="F39" s="124" t="s">
        <v>97</v>
      </c>
      <c r="G39" s="124" t="s">
        <v>98</v>
      </c>
      <c r="H39" s="125" t="s">
        <v>99</v>
      </c>
    </row>
    <row r="40" spans="1:17" ht="18" customHeight="1" x14ac:dyDescent="0.3">
      <c r="B40" s="229"/>
      <c r="C40" s="230"/>
      <c r="D40" s="126"/>
      <c r="E40" s="127"/>
      <c r="F40" s="128"/>
      <c r="G40" s="128"/>
      <c r="H40" s="121"/>
    </row>
    <row r="41" spans="1:17" ht="18" customHeight="1" x14ac:dyDescent="0.3">
      <c r="B41" s="231"/>
      <c r="C41" s="232"/>
      <c r="D41" s="129"/>
      <c r="E41" s="130"/>
      <c r="F41" s="131"/>
      <c r="G41" s="131"/>
      <c r="H41" s="101"/>
    </row>
    <row r="42" spans="1:17" ht="18" customHeight="1" x14ac:dyDescent="0.3">
      <c r="B42" s="210" t="s">
        <v>100</v>
      </c>
      <c r="C42" s="211"/>
      <c r="D42" s="212"/>
      <c r="E42" s="212"/>
      <c r="F42" s="212"/>
      <c r="G42" s="213"/>
      <c r="H42" s="102">
        <v>0</v>
      </c>
    </row>
    <row r="43" spans="1:17" ht="16.5" thickBot="1" x14ac:dyDescent="0.35">
      <c r="B43" s="132" t="s">
        <v>101</v>
      </c>
      <c r="C43" s="104"/>
      <c r="D43" s="104"/>
      <c r="E43" s="104"/>
      <c r="F43" s="104"/>
      <c r="G43" s="104"/>
      <c r="H43" s="133"/>
    </row>
    <row r="44" spans="1:17" x14ac:dyDescent="0.3">
      <c r="A44" s="88"/>
      <c r="B44" s="115"/>
      <c r="C44" s="116"/>
      <c r="D44" s="134"/>
      <c r="E44" s="135" t="s">
        <v>102</v>
      </c>
      <c r="F44" s="136"/>
      <c r="G44" s="136"/>
      <c r="H44" s="137">
        <f>ROUND(H14+H23+H36+H42,4)</f>
        <v>221.75</v>
      </c>
      <c r="I44" s="89"/>
      <c r="L44" s="138"/>
      <c r="M44" s="138"/>
      <c r="N44" s="138"/>
      <c r="O44" s="138"/>
      <c r="P44" s="138"/>
      <c r="Q44" s="138"/>
    </row>
    <row r="45" spans="1:17" x14ac:dyDescent="0.3">
      <c r="A45" s="88"/>
      <c r="B45" s="139"/>
      <c r="C45" s="140"/>
      <c r="D45" s="140"/>
      <c r="E45" s="141" t="s">
        <v>103</v>
      </c>
      <c r="F45" s="142"/>
      <c r="G45" s="142" t="s">
        <v>104</v>
      </c>
      <c r="H45" s="143">
        <f>ROUND(G45*H44,2)</f>
        <v>44.35</v>
      </c>
      <c r="I45" s="89"/>
      <c r="L45" s="144"/>
      <c r="M45" s="144"/>
      <c r="N45" s="144"/>
      <c r="O45" s="144"/>
      <c r="P45" s="144"/>
      <c r="Q45" s="144"/>
    </row>
    <row r="46" spans="1:17" x14ac:dyDescent="0.3">
      <c r="A46" s="88"/>
      <c r="B46" s="145"/>
      <c r="C46" s="146"/>
      <c r="D46" s="77"/>
      <c r="E46" s="147" t="s">
        <v>105</v>
      </c>
      <c r="F46" s="148"/>
      <c r="G46" s="148"/>
      <c r="H46" s="149"/>
      <c r="I46" s="89"/>
    </row>
    <row r="47" spans="1:17" ht="16.5" thickBot="1" x14ac:dyDescent="0.35">
      <c r="A47" s="88"/>
      <c r="B47" s="208" t="s">
        <v>60</v>
      </c>
      <c r="C47" s="209"/>
      <c r="D47" s="209"/>
      <c r="E47" s="150" t="s">
        <v>106</v>
      </c>
      <c r="F47" s="151"/>
      <c r="G47" s="152"/>
      <c r="H47" s="153">
        <f>H44+H45</f>
        <v>266.10000000000002</v>
      </c>
      <c r="I47" s="89"/>
    </row>
    <row r="48" spans="1:17" ht="16.5" thickBot="1" x14ac:dyDescent="0.35">
      <c r="A48" s="88"/>
      <c r="B48" s="206" t="s">
        <v>62</v>
      </c>
      <c r="C48" s="207"/>
      <c r="D48" s="207"/>
      <c r="E48" s="154" t="s">
        <v>107</v>
      </c>
      <c r="F48" s="155"/>
      <c r="G48" s="155"/>
      <c r="H48" s="156">
        <f>ROUND(H47,2)</f>
        <v>266.10000000000002</v>
      </c>
      <c r="I48" s="89"/>
    </row>
    <row r="49" spans="2:8" x14ac:dyDescent="0.3">
      <c r="B49" s="157"/>
      <c r="C49" s="157"/>
      <c r="D49" s="158"/>
      <c r="E49" s="159"/>
      <c r="F49" s="160"/>
      <c r="G49" s="159"/>
      <c r="H49" s="159"/>
    </row>
    <row r="50" spans="2:8" x14ac:dyDescent="0.3">
      <c r="B50" s="161"/>
      <c r="C50" s="161"/>
      <c r="D50" s="162"/>
      <c r="E50" s="163"/>
      <c r="F50" s="163"/>
      <c r="G50" s="163"/>
      <c r="H50" s="163"/>
    </row>
  </sheetData>
  <sheetProtection formatCells="0" formatColumns="0" formatRows="0" insertColumns="0" insertRows="0" insertHyperlinks="0" deleteColumns="0" deleteRows="0" sort="0" autoFilter="0" pivotTables="0"/>
  <mergeCells count="37">
    <mergeCell ref="B34:D34"/>
    <mergeCell ref="B2:H2"/>
    <mergeCell ref="B3:H3"/>
    <mergeCell ref="B8:H8"/>
    <mergeCell ref="B9:C9"/>
    <mergeCell ref="B10:C10"/>
    <mergeCell ref="B4:H4"/>
    <mergeCell ref="B11:C11"/>
    <mergeCell ref="B29:D29"/>
    <mergeCell ref="B30:D30"/>
    <mergeCell ref="B31:D31"/>
    <mergeCell ref="B32:D32"/>
    <mergeCell ref="B33:D33"/>
    <mergeCell ref="B23:G23"/>
    <mergeCell ref="B27:D27"/>
    <mergeCell ref="B26:D26"/>
    <mergeCell ref="B25:H25"/>
    <mergeCell ref="B28:D28"/>
    <mergeCell ref="B13:C13"/>
    <mergeCell ref="B12:C12"/>
    <mergeCell ref="B19:C19"/>
    <mergeCell ref="B20:C20"/>
    <mergeCell ref="B21:C21"/>
    <mergeCell ref="B22:C22"/>
    <mergeCell ref="B18:C18"/>
    <mergeCell ref="B17:C17"/>
    <mergeCell ref="B16:H16"/>
    <mergeCell ref="B14:G14"/>
    <mergeCell ref="B48:D48"/>
    <mergeCell ref="B47:D47"/>
    <mergeCell ref="B42:G42"/>
    <mergeCell ref="B39:C39"/>
    <mergeCell ref="B35:D35"/>
    <mergeCell ref="B36:G36"/>
    <mergeCell ref="B38:H38"/>
    <mergeCell ref="B40:C40"/>
    <mergeCell ref="B41:C41"/>
  </mergeCells>
  <printOptions horizontalCentered="1" verticalCentered="1"/>
  <pageMargins left="0.5" right="0.25" top="0.30069439999999997" bottom="0.30069439999999997" header="0" footer="0"/>
  <pageSetup scale="88" orientation="portrait" errors="blank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2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166</v>
      </c>
    </row>
    <row r="6" spans="1:17" x14ac:dyDescent="0.3">
      <c r="B6" s="82" t="s">
        <v>75</v>
      </c>
      <c r="C6" s="83" t="s">
        <v>33</v>
      </c>
      <c r="D6" s="79"/>
      <c r="E6" s="80"/>
      <c r="F6" s="80"/>
      <c r="G6" s="84" t="s">
        <v>14</v>
      </c>
      <c r="H6" s="85" t="s">
        <v>34</v>
      </c>
    </row>
    <row r="7" spans="1:17" x14ac:dyDescent="0.3">
      <c r="B7" s="86" t="s">
        <v>76</v>
      </c>
      <c r="C7" s="79" t="s">
        <v>167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0.02</v>
      </c>
    </row>
    <row r="11" spans="1:17" ht="18" customHeight="1" x14ac:dyDescent="0.3">
      <c r="B11" s="248" t="s">
        <v>168</v>
      </c>
      <c r="C11" s="220"/>
      <c r="D11" s="111">
        <v>1</v>
      </c>
      <c r="E11" s="111">
        <v>1</v>
      </c>
      <c r="F11" s="111">
        <f>IF(ISNUMBER(D11),D11*E11,)</f>
        <v>1</v>
      </c>
      <c r="G11" s="111">
        <v>3.3799999999999997E-2</v>
      </c>
      <c r="H11" s="113">
        <v>0.03</v>
      </c>
    </row>
    <row r="12" spans="1:17" ht="18" customHeight="1" x14ac:dyDescent="0.3">
      <c r="B12" s="235"/>
      <c r="C12" s="236"/>
      <c r="D12" s="99"/>
      <c r="E12" s="99"/>
      <c r="F12" s="99"/>
      <c r="G12" s="100"/>
      <c r="H12" s="101"/>
    </row>
    <row r="13" spans="1:17" ht="18" customHeight="1" x14ac:dyDescent="0.3">
      <c r="B13" s="210" t="s">
        <v>86</v>
      </c>
      <c r="C13" s="211"/>
      <c r="D13" s="212"/>
      <c r="E13" s="212"/>
      <c r="F13" s="212"/>
      <c r="G13" s="213"/>
      <c r="H13" s="102">
        <v>0.05</v>
      </c>
    </row>
    <row r="14" spans="1:17" ht="18" customHeight="1" x14ac:dyDescent="0.3">
      <c r="B14" s="103"/>
      <c r="C14" s="104"/>
      <c r="D14" s="77"/>
      <c r="E14" s="105"/>
      <c r="F14" s="106"/>
      <c r="G14" s="105"/>
      <c r="H14" s="107"/>
    </row>
    <row r="15" spans="1:17" ht="18" customHeight="1" x14ac:dyDescent="0.3">
      <c r="B15" s="225" t="s">
        <v>87</v>
      </c>
      <c r="C15" s="226"/>
      <c r="D15" s="227"/>
      <c r="E15" s="227"/>
      <c r="F15" s="227"/>
      <c r="G15" s="227"/>
      <c r="H15" s="228"/>
    </row>
    <row r="16" spans="1:17" ht="20.25" customHeight="1" x14ac:dyDescent="0.3">
      <c r="B16" s="214" t="s">
        <v>13</v>
      </c>
      <c r="C16" s="215"/>
      <c r="D16" s="108" t="s">
        <v>79</v>
      </c>
      <c r="E16" s="91" t="s">
        <v>88</v>
      </c>
      <c r="F16" s="109" t="s">
        <v>81</v>
      </c>
      <c r="G16" s="108" t="s">
        <v>82</v>
      </c>
      <c r="H16" s="110" t="s">
        <v>83</v>
      </c>
    </row>
    <row r="17" spans="2:8" ht="18" customHeight="1" x14ac:dyDescent="0.3">
      <c r="B17" s="233" t="s">
        <v>89</v>
      </c>
      <c r="C17" s="234"/>
      <c r="D17" s="97">
        <v>2</v>
      </c>
      <c r="E17" s="97">
        <v>4.34</v>
      </c>
      <c r="F17" s="97">
        <f>IF(ISNUMBER(D17),D17*E17,)</f>
        <v>8.68</v>
      </c>
      <c r="G17" s="97">
        <v>3.3799999999999997E-2</v>
      </c>
      <c r="H17" s="98">
        <v>0.28999999999999998</v>
      </c>
    </row>
    <row r="18" spans="2:8" ht="18" customHeight="1" x14ac:dyDescent="0.3">
      <c r="B18" s="248" t="s">
        <v>90</v>
      </c>
      <c r="C18" s="249"/>
      <c r="D18" s="111">
        <v>0.1</v>
      </c>
      <c r="E18" s="112">
        <v>4.87</v>
      </c>
      <c r="F18" s="111">
        <f>IF(ISNUMBER(D18),D18*E18,)</f>
        <v>0.48700000000000004</v>
      </c>
      <c r="G18" s="111">
        <v>3.3799999999999997E-2</v>
      </c>
      <c r="H18" s="113">
        <v>0.02</v>
      </c>
    </row>
    <row r="19" spans="2:8" ht="18" customHeight="1" x14ac:dyDescent="0.3">
      <c r="B19" s="248" t="s">
        <v>169</v>
      </c>
      <c r="C19" s="249"/>
      <c r="D19" s="111">
        <v>1</v>
      </c>
      <c r="E19" s="112">
        <v>4.3899999999999997</v>
      </c>
      <c r="F19" s="111">
        <f>IF(ISNUMBER(D19),D19*E19,)</f>
        <v>4.3899999999999997</v>
      </c>
      <c r="G19" s="111">
        <v>3.3799999999999997E-2</v>
      </c>
      <c r="H19" s="113">
        <v>0.15</v>
      </c>
    </row>
    <row r="20" spans="2:8" ht="18" customHeight="1" x14ac:dyDescent="0.3">
      <c r="B20" s="235"/>
      <c r="C20" s="236"/>
      <c r="D20" s="99"/>
      <c r="E20" s="114"/>
      <c r="F20" s="99"/>
      <c r="G20" s="99"/>
      <c r="H20" s="101"/>
    </row>
    <row r="21" spans="2:8" ht="18" customHeight="1" x14ac:dyDescent="0.3">
      <c r="B21" s="210" t="s">
        <v>91</v>
      </c>
      <c r="C21" s="211"/>
      <c r="D21" s="212"/>
      <c r="E21" s="212"/>
      <c r="F21" s="212"/>
      <c r="G21" s="213"/>
      <c r="H21" s="102">
        <v>0.45999999999999996</v>
      </c>
    </row>
    <row r="22" spans="2:8" ht="18" customHeight="1" x14ac:dyDescent="0.3">
      <c r="B22" s="115"/>
      <c r="C22" s="116"/>
      <c r="D22" s="116"/>
      <c r="E22" s="116"/>
      <c r="F22" s="116"/>
      <c r="G22" s="116"/>
      <c r="H22" s="117"/>
    </row>
    <row r="23" spans="2:8" ht="18" customHeight="1" x14ac:dyDescent="0.3">
      <c r="B23" s="225" t="s">
        <v>92</v>
      </c>
      <c r="C23" s="226"/>
      <c r="D23" s="227"/>
      <c r="E23" s="227"/>
      <c r="F23" s="227"/>
      <c r="G23" s="227"/>
      <c r="H23" s="228"/>
    </row>
    <row r="24" spans="2:8" ht="20.25" customHeight="1" x14ac:dyDescent="0.3">
      <c r="B24" s="222" t="s">
        <v>13</v>
      </c>
      <c r="C24" s="223"/>
      <c r="D24" s="224"/>
      <c r="E24" s="118" t="s">
        <v>14</v>
      </c>
      <c r="F24" s="90" t="s">
        <v>79</v>
      </c>
      <c r="G24" s="91" t="s">
        <v>93</v>
      </c>
      <c r="H24" s="92" t="s">
        <v>94</v>
      </c>
    </row>
    <row r="25" spans="2:8" ht="18" customHeight="1" x14ac:dyDescent="0.3">
      <c r="B25" s="250" t="s">
        <v>170</v>
      </c>
      <c r="C25" s="245"/>
      <c r="D25" s="251"/>
      <c r="E25" s="164" t="s">
        <v>171</v>
      </c>
      <c r="F25" s="165">
        <v>1.05</v>
      </c>
      <c r="G25" s="165">
        <v>1.3</v>
      </c>
      <c r="H25" s="98">
        <v>1.37</v>
      </c>
    </row>
    <row r="26" spans="2:8" ht="18" customHeight="1" x14ac:dyDescent="0.3">
      <c r="B26" s="219" t="s">
        <v>172</v>
      </c>
      <c r="C26" s="220"/>
      <c r="D26" s="221"/>
      <c r="E26" s="166" t="s">
        <v>173</v>
      </c>
      <c r="F26" s="167">
        <v>0.1</v>
      </c>
      <c r="G26" s="167">
        <v>1.5</v>
      </c>
      <c r="H26" s="113">
        <v>0.15</v>
      </c>
    </row>
    <row r="27" spans="2:8" ht="18" customHeight="1" x14ac:dyDescent="0.3">
      <c r="B27" s="216"/>
      <c r="C27" s="217"/>
      <c r="D27" s="218"/>
      <c r="E27" s="122"/>
      <c r="F27" s="114"/>
      <c r="G27" s="114"/>
      <c r="H27" s="101"/>
    </row>
    <row r="28" spans="2:8" ht="18" customHeight="1" x14ac:dyDescent="0.3">
      <c r="B28" s="210" t="s">
        <v>95</v>
      </c>
      <c r="C28" s="211"/>
      <c r="D28" s="212"/>
      <c r="E28" s="212"/>
      <c r="F28" s="212"/>
      <c r="G28" s="213"/>
      <c r="H28" s="102">
        <v>1.52</v>
      </c>
    </row>
    <row r="29" spans="2:8" ht="18" customHeight="1" x14ac:dyDescent="0.3">
      <c r="B29" s="103"/>
      <c r="C29" s="104"/>
      <c r="D29" s="77"/>
      <c r="E29" s="105"/>
      <c r="F29" s="106"/>
      <c r="G29" s="105"/>
      <c r="H29" s="107"/>
    </row>
    <row r="30" spans="2:8" ht="18" customHeight="1" x14ac:dyDescent="0.3">
      <c r="B30" s="225" t="s">
        <v>96</v>
      </c>
      <c r="C30" s="226"/>
      <c r="D30" s="227"/>
      <c r="E30" s="227"/>
      <c r="F30" s="227"/>
      <c r="G30" s="227"/>
      <c r="H30" s="228"/>
    </row>
    <row r="31" spans="2:8" ht="22.5" customHeight="1" x14ac:dyDescent="0.3">
      <c r="B31" s="214" t="s">
        <v>13</v>
      </c>
      <c r="C31" s="215"/>
      <c r="D31" s="123" t="s">
        <v>14</v>
      </c>
      <c r="E31" s="124" t="s">
        <v>79</v>
      </c>
      <c r="F31" s="124" t="s">
        <v>97</v>
      </c>
      <c r="G31" s="124" t="s">
        <v>98</v>
      </c>
      <c r="H31" s="125" t="s">
        <v>99</v>
      </c>
    </row>
    <row r="32" spans="2:8" ht="18" customHeight="1" x14ac:dyDescent="0.3">
      <c r="B32" s="229"/>
      <c r="C32" s="230"/>
      <c r="D32" s="126"/>
      <c r="E32" s="127"/>
      <c r="F32" s="128"/>
      <c r="G32" s="128"/>
      <c r="H32" s="121"/>
    </row>
    <row r="33" spans="1:17" ht="18" customHeight="1" x14ac:dyDescent="0.3">
      <c r="B33" s="231"/>
      <c r="C33" s="232"/>
      <c r="D33" s="129"/>
      <c r="E33" s="130"/>
      <c r="F33" s="131"/>
      <c r="G33" s="131"/>
      <c r="H33" s="101"/>
    </row>
    <row r="34" spans="1:17" ht="18" customHeight="1" x14ac:dyDescent="0.3">
      <c r="B34" s="210" t="s">
        <v>100</v>
      </c>
      <c r="C34" s="211"/>
      <c r="D34" s="212"/>
      <c r="E34" s="212"/>
      <c r="F34" s="212"/>
      <c r="G34" s="213"/>
      <c r="H34" s="102">
        <v>0</v>
      </c>
    </row>
    <row r="35" spans="1:17" ht="16.5" thickBot="1" x14ac:dyDescent="0.35">
      <c r="B35" s="132" t="s">
        <v>101</v>
      </c>
      <c r="C35" s="104"/>
      <c r="D35" s="104"/>
      <c r="E35" s="104"/>
      <c r="F35" s="104"/>
      <c r="G35" s="104"/>
      <c r="H35" s="133"/>
    </row>
    <row r="36" spans="1:17" x14ac:dyDescent="0.3">
      <c r="A36" s="88"/>
      <c r="B36" s="115"/>
      <c r="C36" s="116"/>
      <c r="D36" s="134"/>
      <c r="E36" s="135" t="s">
        <v>102</v>
      </c>
      <c r="F36" s="136"/>
      <c r="G36" s="136"/>
      <c r="H36" s="137">
        <f>ROUND(H13+H21+H28+H34,4)</f>
        <v>2.0299999999999998</v>
      </c>
      <c r="I36" s="89"/>
      <c r="L36" s="138"/>
      <c r="M36" s="138"/>
      <c r="N36" s="138"/>
      <c r="O36" s="138"/>
      <c r="P36" s="138"/>
      <c r="Q36" s="138"/>
    </row>
    <row r="37" spans="1:17" x14ac:dyDescent="0.3">
      <c r="A37" s="88"/>
      <c r="B37" s="139"/>
      <c r="C37" s="140"/>
      <c r="D37" s="140"/>
      <c r="E37" s="141" t="s">
        <v>103</v>
      </c>
      <c r="F37" s="142"/>
      <c r="G37" s="142" t="s">
        <v>104</v>
      </c>
      <c r="H37" s="143">
        <f>ROUND(G37*H36,2)</f>
        <v>0.41</v>
      </c>
      <c r="I37" s="89"/>
      <c r="L37" s="144"/>
      <c r="M37" s="144"/>
      <c r="N37" s="144"/>
      <c r="O37" s="144"/>
      <c r="P37" s="144"/>
      <c r="Q37" s="144"/>
    </row>
    <row r="38" spans="1:17" x14ac:dyDescent="0.3">
      <c r="A38" s="88"/>
      <c r="B38" s="145"/>
      <c r="C38" s="146"/>
      <c r="D38" s="77"/>
      <c r="E38" s="147" t="s">
        <v>105</v>
      </c>
      <c r="F38" s="148"/>
      <c r="G38" s="148"/>
      <c r="H38" s="149"/>
      <c r="I38" s="89"/>
    </row>
    <row r="39" spans="1:17" ht="16.5" thickBot="1" x14ac:dyDescent="0.35">
      <c r="A39" s="88"/>
      <c r="B39" s="208" t="s">
        <v>60</v>
      </c>
      <c r="C39" s="209"/>
      <c r="D39" s="209"/>
      <c r="E39" s="150" t="s">
        <v>106</v>
      </c>
      <c r="F39" s="151"/>
      <c r="G39" s="152"/>
      <c r="H39" s="153">
        <f>H36+H37</f>
        <v>2.44</v>
      </c>
      <c r="I39" s="89"/>
    </row>
    <row r="40" spans="1:17" ht="16.5" thickBot="1" x14ac:dyDescent="0.35">
      <c r="A40" s="88"/>
      <c r="B40" s="206" t="s">
        <v>62</v>
      </c>
      <c r="C40" s="207"/>
      <c r="D40" s="207"/>
      <c r="E40" s="154" t="s">
        <v>107</v>
      </c>
      <c r="F40" s="155"/>
      <c r="G40" s="155"/>
      <c r="H40" s="156">
        <f>ROUND(H39,2)</f>
        <v>2.44</v>
      </c>
      <c r="I40" s="89"/>
    </row>
    <row r="41" spans="1:17" x14ac:dyDescent="0.3">
      <c r="B41" s="157"/>
      <c r="C41" s="157"/>
      <c r="D41" s="158"/>
      <c r="E41" s="159"/>
      <c r="F41" s="160"/>
      <c r="G41" s="159"/>
      <c r="H41" s="159"/>
    </row>
    <row r="42" spans="1:17" x14ac:dyDescent="0.3">
      <c r="B42" s="161"/>
      <c r="C42" s="161"/>
      <c r="D42" s="162"/>
      <c r="E42" s="163"/>
      <c r="F42" s="163"/>
      <c r="G42" s="163"/>
      <c r="H42" s="163"/>
    </row>
  </sheetData>
  <sheetProtection formatCells="0" formatColumns="0" formatRows="0" insertColumns="0" insertRows="0" insertHyperlinks="0" deleteColumns="0" deleteRows="0" sort="0" autoFilter="0" pivotTables="0"/>
  <mergeCells count="29">
    <mergeCell ref="B16:C16"/>
    <mergeCell ref="B15:H15"/>
    <mergeCell ref="B2:H2"/>
    <mergeCell ref="B3:H3"/>
    <mergeCell ref="B8:H8"/>
    <mergeCell ref="B9:C9"/>
    <mergeCell ref="B10:C10"/>
    <mergeCell ref="B13:G13"/>
    <mergeCell ref="B4:H4"/>
    <mergeCell ref="B12:C12"/>
    <mergeCell ref="B11:C11"/>
    <mergeCell ref="B23:H23"/>
    <mergeCell ref="B21:G21"/>
    <mergeCell ref="B26:D26"/>
    <mergeCell ref="B17:C17"/>
    <mergeCell ref="B20:C20"/>
    <mergeCell ref="B18:C18"/>
    <mergeCell ref="B19:C19"/>
    <mergeCell ref="B25:D25"/>
    <mergeCell ref="B28:G28"/>
    <mergeCell ref="B24:D24"/>
    <mergeCell ref="B30:H30"/>
    <mergeCell ref="B32:C32"/>
    <mergeCell ref="B40:D40"/>
    <mergeCell ref="B39:D39"/>
    <mergeCell ref="B34:G34"/>
    <mergeCell ref="B31:C31"/>
    <mergeCell ref="B27:D27"/>
    <mergeCell ref="B33:C33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174</v>
      </c>
    </row>
    <row r="6" spans="1:17" x14ac:dyDescent="0.3">
      <c r="B6" s="82" t="s">
        <v>75</v>
      </c>
      <c r="C6" s="83" t="s">
        <v>35</v>
      </c>
      <c r="D6" s="79"/>
      <c r="E6" s="80"/>
      <c r="F6" s="80"/>
      <c r="G6" s="84" t="s">
        <v>14</v>
      </c>
      <c r="H6" s="85" t="s">
        <v>34</v>
      </c>
    </row>
    <row r="7" spans="1:17" x14ac:dyDescent="0.3">
      <c r="B7" s="86" t="s">
        <v>76</v>
      </c>
      <c r="C7" s="79" t="s">
        <v>175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48"/>
      <c r="C10" s="220"/>
      <c r="D10" s="168"/>
      <c r="E10" s="168"/>
      <c r="F10" s="168">
        <f>IF(ISNUMBER(D10),D10*E10,)</f>
        <v>0</v>
      </c>
      <c r="G10" s="168"/>
      <c r="H10" s="121"/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48"/>
      <c r="C16" s="249"/>
      <c r="D16" s="168"/>
      <c r="E16" s="169"/>
      <c r="F16" s="168">
        <f>IF(ISNUMBER(D16),D16*E16,)</f>
        <v>0</v>
      </c>
      <c r="G16" s="168"/>
      <c r="H16" s="121"/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0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176</v>
      </c>
      <c r="C22" s="245"/>
      <c r="D22" s="251"/>
      <c r="E22" s="164" t="s">
        <v>34</v>
      </c>
      <c r="F22" s="165">
        <v>1.1000000000000001</v>
      </c>
      <c r="G22" s="165">
        <v>1.95</v>
      </c>
      <c r="H22" s="98">
        <v>2.15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2.15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52" t="s">
        <v>176</v>
      </c>
      <c r="C28" s="253"/>
      <c r="D28" s="170" t="s">
        <v>34</v>
      </c>
      <c r="E28" s="171">
        <v>1</v>
      </c>
      <c r="F28" s="172">
        <v>0.05</v>
      </c>
      <c r="G28" s="172">
        <v>1</v>
      </c>
      <c r="H28" s="173">
        <v>0.05</v>
      </c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0.05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2.2000000000000002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0.44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2.64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2.64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2:G12"/>
    <mergeCell ref="B10:C10"/>
    <mergeCell ref="B4:H4"/>
    <mergeCell ref="B11:C11"/>
    <mergeCell ref="B20:H20"/>
    <mergeCell ref="B18:G18"/>
    <mergeCell ref="B17:C17"/>
    <mergeCell ref="B16:C16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6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177</v>
      </c>
    </row>
    <row r="6" spans="1:17" x14ac:dyDescent="0.3">
      <c r="B6" s="82" t="s">
        <v>75</v>
      </c>
      <c r="C6" s="83" t="s">
        <v>36</v>
      </c>
      <c r="D6" s="79"/>
      <c r="E6" s="80"/>
      <c r="F6" s="80"/>
      <c r="G6" s="84" t="s">
        <v>14</v>
      </c>
      <c r="H6" s="85" t="s">
        <v>34</v>
      </c>
    </row>
    <row r="7" spans="1:17" x14ac:dyDescent="0.3">
      <c r="B7" s="86" t="s">
        <v>76</v>
      </c>
      <c r="C7" s="79" t="s">
        <v>178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179</v>
      </c>
      <c r="C10" s="245"/>
      <c r="D10" s="97">
        <v>1</v>
      </c>
      <c r="E10" s="97">
        <v>5.74</v>
      </c>
      <c r="F10" s="97">
        <f>IF(ISNUMBER(D10),D10*E10,)</f>
        <v>5.74</v>
      </c>
      <c r="G10" s="97">
        <v>1.333E-2</v>
      </c>
      <c r="H10" s="98">
        <v>0.08</v>
      </c>
    </row>
    <row r="11" spans="1:17" ht="18" customHeight="1" x14ac:dyDescent="0.3">
      <c r="B11" s="248" t="s">
        <v>180</v>
      </c>
      <c r="C11" s="220"/>
      <c r="D11" s="111">
        <v>1</v>
      </c>
      <c r="E11" s="111">
        <v>4.5999999999999996</v>
      </c>
      <c r="F11" s="111">
        <f>IF(ISNUMBER(D11),D11*E11,)</f>
        <v>4.5999999999999996</v>
      </c>
      <c r="G11" s="111">
        <v>1.333E-2</v>
      </c>
      <c r="H11" s="113">
        <v>0.06</v>
      </c>
    </row>
    <row r="12" spans="1:17" ht="18" customHeight="1" x14ac:dyDescent="0.3">
      <c r="B12" s="248" t="s">
        <v>181</v>
      </c>
      <c r="C12" s="220"/>
      <c r="D12" s="111">
        <v>1</v>
      </c>
      <c r="E12" s="111">
        <v>2.2400000000000002</v>
      </c>
      <c r="F12" s="111">
        <f>IF(ISNUMBER(D12),D12*E12,)</f>
        <v>2.2400000000000002</v>
      </c>
      <c r="G12" s="111">
        <v>1.333E-2</v>
      </c>
      <c r="H12" s="113">
        <v>0.03</v>
      </c>
    </row>
    <row r="13" spans="1:17" ht="18" customHeight="1" x14ac:dyDescent="0.3">
      <c r="B13" s="248" t="s">
        <v>182</v>
      </c>
      <c r="C13" s="220"/>
      <c r="D13" s="111">
        <v>1</v>
      </c>
      <c r="E13" s="111">
        <v>46</v>
      </c>
      <c r="F13" s="111">
        <f>IF(ISNUMBER(D13),D13*E13,)</f>
        <v>46</v>
      </c>
      <c r="G13" s="111">
        <v>1.333E-2</v>
      </c>
      <c r="H13" s="113">
        <v>0.61</v>
      </c>
    </row>
    <row r="14" spans="1:17" ht="18" customHeight="1" x14ac:dyDescent="0.3">
      <c r="B14" s="248" t="s">
        <v>84</v>
      </c>
      <c r="C14" s="220"/>
      <c r="D14" s="111" t="s">
        <v>85</v>
      </c>
      <c r="E14" s="111" t="s">
        <v>18</v>
      </c>
      <c r="F14" s="111">
        <f>IF(ISNUMBER(D14),D14*E14,)</f>
        <v>0</v>
      </c>
      <c r="G14" s="111" t="s">
        <v>18</v>
      </c>
      <c r="H14" s="113">
        <v>0.03</v>
      </c>
    </row>
    <row r="15" spans="1:17" ht="18" customHeight="1" x14ac:dyDescent="0.3">
      <c r="B15" s="235"/>
      <c r="C15" s="236"/>
      <c r="D15" s="99"/>
      <c r="E15" s="99"/>
      <c r="F15" s="99"/>
      <c r="G15" s="100"/>
      <c r="H15" s="101"/>
    </row>
    <row r="16" spans="1:17" ht="18" customHeight="1" x14ac:dyDescent="0.3">
      <c r="B16" s="210" t="s">
        <v>86</v>
      </c>
      <c r="C16" s="211"/>
      <c r="D16" s="212"/>
      <c r="E16" s="212"/>
      <c r="F16" s="212"/>
      <c r="G16" s="213"/>
      <c r="H16" s="102">
        <v>0.81</v>
      </c>
    </row>
    <row r="17" spans="2:8" ht="18" customHeight="1" x14ac:dyDescent="0.3">
      <c r="B17" s="103"/>
      <c r="C17" s="104"/>
      <c r="D17" s="77"/>
      <c r="E17" s="105"/>
      <c r="F17" s="106"/>
      <c r="G17" s="105"/>
      <c r="H17" s="107"/>
    </row>
    <row r="18" spans="2:8" ht="18" customHeight="1" x14ac:dyDescent="0.3">
      <c r="B18" s="225" t="s">
        <v>87</v>
      </c>
      <c r="C18" s="226"/>
      <c r="D18" s="227"/>
      <c r="E18" s="227"/>
      <c r="F18" s="227"/>
      <c r="G18" s="227"/>
      <c r="H18" s="228"/>
    </row>
    <row r="19" spans="2:8" ht="20.25" customHeight="1" x14ac:dyDescent="0.3">
      <c r="B19" s="214" t="s">
        <v>13</v>
      </c>
      <c r="C19" s="215"/>
      <c r="D19" s="108" t="s">
        <v>79</v>
      </c>
      <c r="E19" s="91" t="s">
        <v>88</v>
      </c>
      <c r="F19" s="109" t="s">
        <v>81</v>
      </c>
      <c r="G19" s="108" t="s">
        <v>82</v>
      </c>
      <c r="H19" s="110" t="s">
        <v>83</v>
      </c>
    </row>
    <row r="20" spans="2:8" ht="18" customHeight="1" x14ac:dyDescent="0.3">
      <c r="B20" s="233" t="s">
        <v>89</v>
      </c>
      <c r="C20" s="234"/>
      <c r="D20" s="97">
        <v>5</v>
      </c>
      <c r="E20" s="97">
        <v>4.34</v>
      </c>
      <c r="F20" s="97">
        <f>IF(ISNUMBER(D20),D20*E20,)</f>
        <v>21.7</v>
      </c>
      <c r="G20" s="97">
        <v>1.333E-2</v>
      </c>
      <c r="H20" s="98">
        <v>0.28999999999999998</v>
      </c>
    </row>
    <row r="21" spans="2:8" ht="18" customHeight="1" x14ac:dyDescent="0.3">
      <c r="B21" s="248" t="s">
        <v>183</v>
      </c>
      <c r="C21" s="249"/>
      <c r="D21" s="111">
        <v>2</v>
      </c>
      <c r="E21" s="112">
        <v>4.87</v>
      </c>
      <c r="F21" s="111">
        <f>IF(ISNUMBER(D21),D21*E21,)</f>
        <v>9.74</v>
      </c>
      <c r="G21" s="111">
        <v>1.333E-2</v>
      </c>
      <c r="H21" s="113">
        <v>0.13</v>
      </c>
    </row>
    <row r="22" spans="2:8" ht="18" customHeight="1" x14ac:dyDescent="0.3">
      <c r="B22" s="248" t="s">
        <v>184</v>
      </c>
      <c r="C22" s="249"/>
      <c r="D22" s="111">
        <v>1</v>
      </c>
      <c r="E22" s="112">
        <v>4.87</v>
      </c>
      <c r="F22" s="111">
        <f>IF(ISNUMBER(D22),D22*E22,)</f>
        <v>4.87</v>
      </c>
      <c r="G22" s="111">
        <v>1.333E-2</v>
      </c>
      <c r="H22" s="113">
        <v>0.06</v>
      </c>
    </row>
    <row r="23" spans="2:8" ht="18" customHeight="1" x14ac:dyDescent="0.3">
      <c r="B23" s="248" t="s">
        <v>185</v>
      </c>
      <c r="C23" s="249"/>
      <c r="D23" s="111">
        <v>1</v>
      </c>
      <c r="E23" s="112">
        <v>4.46</v>
      </c>
      <c r="F23" s="111">
        <f>IF(ISNUMBER(D23),D23*E23,)</f>
        <v>4.46</v>
      </c>
      <c r="G23" s="111">
        <v>1.333E-2</v>
      </c>
      <c r="H23" s="113">
        <v>0.06</v>
      </c>
    </row>
    <row r="24" spans="2:8" ht="18" customHeight="1" x14ac:dyDescent="0.3">
      <c r="B24" s="235"/>
      <c r="C24" s="236"/>
      <c r="D24" s="99"/>
      <c r="E24" s="114"/>
      <c r="F24" s="99"/>
      <c r="G24" s="99"/>
      <c r="H24" s="101"/>
    </row>
    <row r="25" spans="2:8" ht="18" customHeight="1" x14ac:dyDescent="0.3">
      <c r="B25" s="210" t="s">
        <v>91</v>
      </c>
      <c r="C25" s="211"/>
      <c r="D25" s="212"/>
      <c r="E25" s="212"/>
      <c r="F25" s="212"/>
      <c r="G25" s="213"/>
      <c r="H25" s="102">
        <v>0.54</v>
      </c>
    </row>
    <row r="26" spans="2:8" ht="18" customHeight="1" x14ac:dyDescent="0.3">
      <c r="B26" s="115"/>
      <c r="C26" s="116"/>
      <c r="D26" s="116"/>
      <c r="E26" s="116"/>
      <c r="F26" s="116"/>
      <c r="G26" s="116"/>
      <c r="H26" s="117"/>
    </row>
    <row r="27" spans="2:8" ht="18" customHeight="1" x14ac:dyDescent="0.3">
      <c r="B27" s="225" t="s">
        <v>92</v>
      </c>
      <c r="C27" s="226"/>
      <c r="D27" s="227"/>
      <c r="E27" s="227"/>
      <c r="F27" s="227"/>
      <c r="G27" s="227"/>
      <c r="H27" s="228"/>
    </row>
    <row r="28" spans="2:8" ht="20.25" customHeight="1" x14ac:dyDescent="0.3">
      <c r="B28" s="222" t="s">
        <v>13</v>
      </c>
      <c r="C28" s="223"/>
      <c r="D28" s="224"/>
      <c r="E28" s="118" t="s">
        <v>14</v>
      </c>
      <c r="F28" s="90" t="s">
        <v>79</v>
      </c>
      <c r="G28" s="91" t="s">
        <v>93</v>
      </c>
      <c r="H28" s="92" t="s">
        <v>94</v>
      </c>
    </row>
    <row r="29" spans="2:8" ht="18" customHeight="1" x14ac:dyDescent="0.3">
      <c r="B29" s="250" t="s">
        <v>186</v>
      </c>
      <c r="C29" s="245"/>
      <c r="D29" s="251"/>
      <c r="E29" s="164" t="s">
        <v>34</v>
      </c>
      <c r="F29" s="165">
        <v>0.02</v>
      </c>
      <c r="G29" s="165">
        <v>2.62</v>
      </c>
      <c r="H29" s="98">
        <v>0.05</v>
      </c>
    </row>
    <row r="30" spans="2:8" ht="18" customHeight="1" x14ac:dyDescent="0.3">
      <c r="B30" s="219" t="s">
        <v>187</v>
      </c>
      <c r="C30" s="220"/>
      <c r="D30" s="221"/>
      <c r="E30" s="166" t="s">
        <v>25</v>
      </c>
      <c r="F30" s="167">
        <v>0.01</v>
      </c>
      <c r="G30" s="167">
        <v>2.68</v>
      </c>
      <c r="H30" s="113">
        <v>0.03</v>
      </c>
    </row>
    <row r="31" spans="2:8" ht="18" customHeight="1" x14ac:dyDescent="0.3">
      <c r="B31" s="216"/>
      <c r="C31" s="217"/>
      <c r="D31" s="218"/>
      <c r="E31" s="122"/>
      <c r="F31" s="114"/>
      <c r="G31" s="114"/>
      <c r="H31" s="101"/>
    </row>
    <row r="32" spans="2:8" ht="18" customHeight="1" x14ac:dyDescent="0.3">
      <c r="B32" s="210" t="s">
        <v>95</v>
      </c>
      <c r="C32" s="211"/>
      <c r="D32" s="212"/>
      <c r="E32" s="212"/>
      <c r="F32" s="212"/>
      <c r="G32" s="213"/>
      <c r="H32" s="102">
        <v>0.08</v>
      </c>
    </row>
    <row r="33" spans="1:17" ht="18" customHeight="1" x14ac:dyDescent="0.3">
      <c r="B33" s="103"/>
      <c r="C33" s="104"/>
      <c r="D33" s="77"/>
      <c r="E33" s="105"/>
      <c r="F33" s="106"/>
      <c r="G33" s="105"/>
      <c r="H33" s="107"/>
    </row>
    <row r="34" spans="1:17" ht="18" customHeight="1" x14ac:dyDescent="0.3">
      <c r="B34" s="225" t="s">
        <v>96</v>
      </c>
      <c r="C34" s="226"/>
      <c r="D34" s="227"/>
      <c r="E34" s="227"/>
      <c r="F34" s="227"/>
      <c r="G34" s="227"/>
      <c r="H34" s="228"/>
    </row>
    <row r="35" spans="1:17" ht="22.5" customHeight="1" x14ac:dyDescent="0.3">
      <c r="B35" s="214" t="s">
        <v>13</v>
      </c>
      <c r="C35" s="215"/>
      <c r="D35" s="123" t="s">
        <v>14</v>
      </c>
      <c r="E35" s="124" t="s">
        <v>79</v>
      </c>
      <c r="F35" s="124" t="s">
        <v>97</v>
      </c>
      <c r="G35" s="124" t="s">
        <v>98</v>
      </c>
      <c r="H35" s="125" t="s">
        <v>99</v>
      </c>
    </row>
    <row r="36" spans="1:17" ht="18" customHeight="1" x14ac:dyDescent="0.3">
      <c r="B36" s="229"/>
      <c r="C36" s="230"/>
      <c r="D36" s="126"/>
      <c r="E36" s="127"/>
      <c r="F36" s="128"/>
      <c r="G36" s="128"/>
      <c r="H36" s="121"/>
    </row>
    <row r="37" spans="1:17" ht="18" customHeight="1" x14ac:dyDescent="0.3">
      <c r="B37" s="231"/>
      <c r="C37" s="232"/>
      <c r="D37" s="129"/>
      <c r="E37" s="130"/>
      <c r="F37" s="131"/>
      <c r="G37" s="131"/>
      <c r="H37" s="101"/>
    </row>
    <row r="38" spans="1:17" ht="18" customHeight="1" x14ac:dyDescent="0.3">
      <c r="B38" s="210" t="s">
        <v>100</v>
      </c>
      <c r="C38" s="211"/>
      <c r="D38" s="212"/>
      <c r="E38" s="212"/>
      <c r="F38" s="212"/>
      <c r="G38" s="213"/>
      <c r="H38" s="102">
        <v>0</v>
      </c>
    </row>
    <row r="39" spans="1:17" ht="16.5" thickBot="1" x14ac:dyDescent="0.35">
      <c r="B39" s="132" t="s">
        <v>101</v>
      </c>
      <c r="C39" s="104"/>
      <c r="D39" s="104"/>
      <c r="E39" s="104"/>
      <c r="F39" s="104"/>
      <c r="G39" s="104"/>
      <c r="H39" s="133"/>
    </row>
    <row r="40" spans="1:17" x14ac:dyDescent="0.3">
      <c r="A40" s="88"/>
      <c r="B40" s="115"/>
      <c r="C40" s="116"/>
      <c r="D40" s="134"/>
      <c r="E40" s="135" t="s">
        <v>102</v>
      </c>
      <c r="F40" s="136"/>
      <c r="G40" s="136"/>
      <c r="H40" s="137">
        <f>ROUND(H16+H25+H32+H38,4)</f>
        <v>1.43</v>
      </c>
      <c r="I40" s="89"/>
      <c r="L40" s="138"/>
      <c r="M40" s="138"/>
      <c r="N40" s="138"/>
      <c r="O40" s="138"/>
      <c r="P40" s="138"/>
      <c r="Q40" s="138"/>
    </row>
    <row r="41" spans="1:17" x14ac:dyDescent="0.3">
      <c r="A41" s="88"/>
      <c r="B41" s="139"/>
      <c r="C41" s="140"/>
      <c r="D41" s="140"/>
      <c r="E41" s="141" t="s">
        <v>103</v>
      </c>
      <c r="F41" s="142"/>
      <c r="G41" s="142" t="s">
        <v>104</v>
      </c>
      <c r="H41" s="143">
        <f>ROUND(G41*H40,2)</f>
        <v>0.28999999999999998</v>
      </c>
      <c r="I41" s="89"/>
      <c r="L41" s="144"/>
      <c r="M41" s="144"/>
      <c r="N41" s="144"/>
      <c r="O41" s="144"/>
      <c r="P41" s="144"/>
      <c r="Q41" s="144"/>
    </row>
    <row r="42" spans="1:17" x14ac:dyDescent="0.3">
      <c r="A42" s="88"/>
      <c r="B42" s="145"/>
      <c r="C42" s="146"/>
      <c r="D42" s="77"/>
      <c r="E42" s="147" t="s">
        <v>105</v>
      </c>
      <c r="F42" s="148"/>
      <c r="G42" s="148"/>
      <c r="H42" s="149"/>
      <c r="I42" s="89"/>
    </row>
    <row r="43" spans="1:17" ht="16.5" thickBot="1" x14ac:dyDescent="0.35">
      <c r="A43" s="88"/>
      <c r="B43" s="208" t="s">
        <v>60</v>
      </c>
      <c r="C43" s="209"/>
      <c r="D43" s="209"/>
      <c r="E43" s="150" t="s">
        <v>106</v>
      </c>
      <c r="F43" s="151"/>
      <c r="G43" s="152"/>
      <c r="H43" s="153">
        <f>H40+H41</f>
        <v>1.72</v>
      </c>
      <c r="I43" s="89"/>
    </row>
    <row r="44" spans="1:17" ht="16.5" thickBot="1" x14ac:dyDescent="0.35">
      <c r="A44" s="88"/>
      <c r="B44" s="206" t="s">
        <v>62</v>
      </c>
      <c r="C44" s="207"/>
      <c r="D44" s="207"/>
      <c r="E44" s="154" t="s">
        <v>107</v>
      </c>
      <c r="F44" s="155"/>
      <c r="G44" s="155"/>
      <c r="H44" s="156">
        <f>ROUND(H43,2)</f>
        <v>1.72</v>
      </c>
      <c r="I44" s="89"/>
    </row>
    <row r="45" spans="1:17" x14ac:dyDescent="0.3">
      <c r="B45" s="157"/>
      <c r="C45" s="157"/>
      <c r="D45" s="158"/>
      <c r="E45" s="159"/>
      <c r="F45" s="160"/>
      <c r="G45" s="159"/>
      <c r="H45" s="159"/>
    </row>
    <row r="46" spans="1:17" x14ac:dyDescent="0.3">
      <c r="B46" s="161"/>
      <c r="C46" s="161"/>
      <c r="D46" s="162"/>
      <c r="E46" s="163"/>
      <c r="F46" s="163"/>
      <c r="G46" s="163"/>
      <c r="H46" s="163"/>
    </row>
  </sheetData>
  <sheetProtection formatCells="0" formatColumns="0" formatRows="0" insertColumns="0" insertRows="0" insertHyperlinks="0" deleteColumns="0" deleteRows="0" sort="0" autoFilter="0" pivotTables="0"/>
  <mergeCells count="33">
    <mergeCell ref="B11:C11"/>
    <mergeCell ref="B12:C12"/>
    <mergeCell ref="B2:H2"/>
    <mergeCell ref="B3:H3"/>
    <mergeCell ref="B8:H8"/>
    <mergeCell ref="B9:C9"/>
    <mergeCell ref="B10:C10"/>
    <mergeCell ref="B4:H4"/>
    <mergeCell ref="B19:C19"/>
    <mergeCell ref="B18:H18"/>
    <mergeCell ref="B16:G16"/>
    <mergeCell ref="B15:C15"/>
    <mergeCell ref="B13:C13"/>
    <mergeCell ref="B14:C14"/>
    <mergeCell ref="B27:H27"/>
    <mergeCell ref="B25:G25"/>
    <mergeCell ref="B30:D30"/>
    <mergeCell ref="B24:C24"/>
    <mergeCell ref="B20:C20"/>
    <mergeCell ref="B21:C21"/>
    <mergeCell ref="B22:C22"/>
    <mergeCell ref="B23:C23"/>
    <mergeCell ref="B29:D29"/>
    <mergeCell ref="B32:G32"/>
    <mergeCell ref="B28:D28"/>
    <mergeCell ref="B34:H34"/>
    <mergeCell ref="B36:C36"/>
    <mergeCell ref="B44:D44"/>
    <mergeCell ref="B43:D43"/>
    <mergeCell ref="B38:G38"/>
    <mergeCell ref="B35:C35"/>
    <mergeCell ref="B31:D31"/>
    <mergeCell ref="B37:C37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6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188</v>
      </c>
    </row>
    <row r="6" spans="1:17" x14ac:dyDescent="0.3">
      <c r="B6" s="82" t="s">
        <v>75</v>
      </c>
      <c r="C6" s="83" t="s">
        <v>37</v>
      </c>
      <c r="D6" s="79"/>
      <c r="E6" s="80"/>
      <c r="F6" s="80"/>
      <c r="G6" s="84" t="s">
        <v>14</v>
      </c>
      <c r="H6" s="85" t="s">
        <v>38</v>
      </c>
    </row>
    <row r="7" spans="1:17" x14ac:dyDescent="0.3">
      <c r="B7" s="86" t="s">
        <v>76</v>
      </c>
      <c r="C7" s="79" t="s">
        <v>189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179</v>
      </c>
      <c r="C10" s="245"/>
      <c r="D10" s="97">
        <v>1</v>
      </c>
      <c r="E10" s="97">
        <v>5.74</v>
      </c>
      <c r="F10" s="97">
        <f>IF(ISNUMBER(D10),D10*E10,)</f>
        <v>5.74</v>
      </c>
      <c r="G10" s="97">
        <v>0.01</v>
      </c>
      <c r="H10" s="98">
        <v>0.06</v>
      </c>
    </row>
    <row r="11" spans="1:17" ht="18" customHeight="1" x14ac:dyDescent="0.3">
      <c r="B11" s="248" t="s">
        <v>180</v>
      </c>
      <c r="C11" s="220"/>
      <c r="D11" s="111">
        <v>1</v>
      </c>
      <c r="E11" s="111">
        <v>4.5999999999999996</v>
      </c>
      <c r="F11" s="111">
        <f>IF(ISNUMBER(D11),D11*E11,)</f>
        <v>4.5999999999999996</v>
      </c>
      <c r="G11" s="111">
        <v>0.01</v>
      </c>
      <c r="H11" s="113">
        <v>0.05</v>
      </c>
    </row>
    <row r="12" spans="1:17" ht="18" customHeight="1" x14ac:dyDescent="0.3">
      <c r="B12" s="248" t="s">
        <v>190</v>
      </c>
      <c r="C12" s="220"/>
      <c r="D12" s="111">
        <v>1</v>
      </c>
      <c r="E12" s="111">
        <v>2.87</v>
      </c>
      <c r="F12" s="111">
        <f>IF(ISNUMBER(D12),D12*E12,)</f>
        <v>2.87</v>
      </c>
      <c r="G12" s="111">
        <v>0.01</v>
      </c>
      <c r="H12" s="113">
        <v>0.03</v>
      </c>
    </row>
    <row r="13" spans="1:17" ht="18" customHeight="1" x14ac:dyDescent="0.3">
      <c r="B13" s="248" t="s">
        <v>191</v>
      </c>
      <c r="C13" s="220"/>
      <c r="D13" s="111">
        <v>1</v>
      </c>
      <c r="E13" s="111">
        <v>60</v>
      </c>
      <c r="F13" s="111">
        <f>IF(ISNUMBER(D13),D13*E13,)</f>
        <v>60</v>
      </c>
      <c r="G13" s="111">
        <v>0.01</v>
      </c>
      <c r="H13" s="113">
        <v>0.6</v>
      </c>
    </row>
    <row r="14" spans="1:17" ht="18" customHeight="1" x14ac:dyDescent="0.3">
      <c r="B14" s="248" t="s">
        <v>84</v>
      </c>
      <c r="C14" s="220"/>
      <c r="D14" s="111" t="s">
        <v>85</v>
      </c>
      <c r="E14" s="111" t="s">
        <v>18</v>
      </c>
      <c r="F14" s="111">
        <f>IF(ISNUMBER(D14),D14*E14,)</f>
        <v>0</v>
      </c>
      <c r="G14" s="111" t="s">
        <v>18</v>
      </c>
      <c r="H14" s="113">
        <v>0.02</v>
      </c>
    </row>
    <row r="15" spans="1:17" ht="18" customHeight="1" x14ac:dyDescent="0.3">
      <c r="B15" s="235"/>
      <c r="C15" s="236"/>
      <c r="D15" s="99"/>
      <c r="E15" s="99"/>
      <c r="F15" s="99"/>
      <c r="G15" s="100"/>
      <c r="H15" s="101"/>
    </row>
    <row r="16" spans="1:17" ht="18" customHeight="1" x14ac:dyDescent="0.3">
      <c r="B16" s="210" t="s">
        <v>86</v>
      </c>
      <c r="C16" s="211"/>
      <c r="D16" s="212"/>
      <c r="E16" s="212"/>
      <c r="F16" s="212"/>
      <c r="G16" s="213"/>
      <c r="H16" s="102">
        <v>0.76</v>
      </c>
    </row>
    <row r="17" spans="2:8" ht="18" customHeight="1" x14ac:dyDescent="0.3">
      <c r="B17" s="103"/>
      <c r="C17" s="104"/>
      <c r="D17" s="77"/>
      <c r="E17" s="105"/>
      <c r="F17" s="106"/>
      <c r="G17" s="105"/>
      <c r="H17" s="107"/>
    </row>
    <row r="18" spans="2:8" ht="18" customHeight="1" x14ac:dyDescent="0.3">
      <c r="B18" s="225" t="s">
        <v>87</v>
      </c>
      <c r="C18" s="226"/>
      <c r="D18" s="227"/>
      <c r="E18" s="227"/>
      <c r="F18" s="227"/>
      <c r="G18" s="227"/>
      <c r="H18" s="228"/>
    </row>
    <row r="19" spans="2:8" ht="20.25" customHeight="1" x14ac:dyDescent="0.3">
      <c r="B19" s="214" t="s">
        <v>13</v>
      </c>
      <c r="C19" s="215"/>
      <c r="D19" s="108" t="s">
        <v>79</v>
      </c>
      <c r="E19" s="91" t="s">
        <v>88</v>
      </c>
      <c r="F19" s="109" t="s">
        <v>81</v>
      </c>
      <c r="G19" s="108" t="s">
        <v>82</v>
      </c>
      <c r="H19" s="110" t="s">
        <v>83</v>
      </c>
    </row>
    <row r="20" spans="2:8" ht="18" customHeight="1" x14ac:dyDescent="0.3">
      <c r="B20" s="233" t="s">
        <v>89</v>
      </c>
      <c r="C20" s="234"/>
      <c r="D20" s="97">
        <v>4</v>
      </c>
      <c r="E20" s="97">
        <v>4.34</v>
      </c>
      <c r="F20" s="97">
        <f>IF(ISNUMBER(D20),D20*E20,)</f>
        <v>17.36</v>
      </c>
      <c r="G20" s="97">
        <v>0.01</v>
      </c>
      <c r="H20" s="98">
        <v>0.17</v>
      </c>
    </row>
    <row r="21" spans="2:8" ht="18" customHeight="1" x14ac:dyDescent="0.3">
      <c r="B21" s="248" t="s">
        <v>183</v>
      </c>
      <c r="C21" s="249"/>
      <c r="D21" s="111">
        <v>2</v>
      </c>
      <c r="E21" s="112">
        <v>4.87</v>
      </c>
      <c r="F21" s="111">
        <f>IF(ISNUMBER(D21),D21*E21,)</f>
        <v>9.74</v>
      </c>
      <c r="G21" s="111">
        <v>0.01</v>
      </c>
      <c r="H21" s="113">
        <v>0.1</v>
      </c>
    </row>
    <row r="22" spans="2:8" ht="18" customHeight="1" x14ac:dyDescent="0.3">
      <c r="B22" s="248" t="s">
        <v>125</v>
      </c>
      <c r="C22" s="249"/>
      <c r="D22" s="111">
        <v>1</v>
      </c>
      <c r="E22" s="112">
        <v>4.3899999999999997</v>
      </c>
      <c r="F22" s="111">
        <f>IF(ISNUMBER(D22),D22*E22,)</f>
        <v>4.3899999999999997</v>
      </c>
      <c r="G22" s="111">
        <v>0.01</v>
      </c>
      <c r="H22" s="113">
        <v>0.04</v>
      </c>
    </row>
    <row r="23" spans="2:8" ht="18" customHeight="1" x14ac:dyDescent="0.3">
      <c r="B23" s="248" t="s">
        <v>185</v>
      </c>
      <c r="C23" s="249"/>
      <c r="D23" s="111">
        <v>1</v>
      </c>
      <c r="E23" s="112">
        <v>4.46</v>
      </c>
      <c r="F23" s="111">
        <f>IF(ISNUMBER(D23),D23*E23,)</f>
        <v>4.46</v>
      </c>
      <c r="G23" s="111">
        <v>0.01</v>
      </c>
      <c r="H23" s="113">
        <v>0.04</v>
      </c>
    </row>
    <row r="24" spans="2:8" ht="18" customHeight="1" x14ac:dyDescent="0.3">
      <c r="B24" s="248" t="s">
        <v>184</v>
      </c>
      <c r="C24" s="249"/>
      <c r="D24" s="111">
        <v>1</v>
      </c>
      <c r="E24" s="112">
        <v>4.87</v>
      </c>
      <c r="F24" s="111">
        <f>IF(ISNUMBER(D24),D24*E24,)</f>
        <v>4.87</v>
      </c>
      <c r="G24" s="111">
        <v>0.01</v>
      </c>
      <c r="H24" s="113">
        <v>0.05</v>
      </c>
    </row>
    <row r="25" spans="2:8" ht="18" customHeight="1" x14ac:dyDescent="0.3">
      <c r="B25" s="235"/>
      <c r="C25" s="236"/>
      <c r="D25" s="99"/>
      <c r="E25" s="114"/>
      <c r="F25" s="99"/>
      <c r="G25" s="99"/>
      <c r="H25" s="101"/>
    </row>
    <row r="26" spans="2:8" ht="18" customHeight="1" x14ac:dyDescent="0.3">
      <c r="B26" s="210" t="s">
        <v>91</v>
      </c>
      <c r="C26" s="211"/>
      <c r="D26" s="212"/>
      <c r="E26" s="212"/>
      <c r="F26" s="212"/>
      <c r="G26" s="213"/>
      <c r="H26" s="102">
        <v>0.39999999999999997</v>
      </c>
    </row>
    <row r="27" spans="2:8" ht="18" customHeight="1" x14ac:dyDescent="0.3">
      <c r="B27" s="115"/>
      <c r="C27" s="116"/>
      <c r="D27" s="116"/>
      <c r="E27" s="116"/>
      <c r="F27" s="116"/>
      <c r="G27" s="116"/>
      <c r="H27" s="117"/>
    </row>
    <row r="28" spans="2:8" ht="18" customHeight="1" x14ac:dyDescent="0.3">
      <c r="B28" s="225" t="s">
        <v>92</v>
      </c>
      <c r="C28" s="226"/>
      <c r="D28" s="227"/>
      <c r="E28" s="227"/>
      <c r="F28" s="227"/>
      <c r="G28" s="227"/>
      <c r="H28" s="228"/>
    </row>
    <row r="29" spans="2:8" ht="20.25" customHeight="1" x14ac:dyDescent="0.3">
      <c r="B29" s="222" t="s">
        <v>13</v>
      </c>
      <c r="C29" s="223"/>
      <c r="D29" s="224"/>
      <c r="E29" s="118" t="s">
        <v>14</v>
      </c>
      <c r="F29" s="90" t="s">
        <v>79</v>
      </c>
      <c r="G29" s="91" t="s">
        <v>93</v>
      </c>
      <c r="H29" s="92" t="s">
        <v>94</v>
      </c>
    </row>
    <row r="30" spans="2:8" ht="18" customHeight="1" x14ac:dyDescent="0.3">
      <c r="B30" s="250" t="s">
        <v>192</v>
      </c>
      <c r="C30" s="245"/>
      <c r="D30" s="251"/>
      <c r="E30" s="164" t="s">
        <v>43</v>
      </c>
      <c r="F30" s="165">
        <v>1</v>
      </c>
      <c r="G30" s="165">
        <v>0.08</v>
      </c>
      <c r="H30" s="98">
        <v>0.08</v>
      </c>
    </row>
    <row r="31" spans="2:8" ht="18" customHeight="1" x14ac:dyDescent="0.3">
      <c r="B31" s="216"/>
      <c r="C31" s="217"/>
      <c r="D31" s="218"/>
      <c r="E31" s="122"/>
      <c r="F31" s="114"/>
      <c r="G31" s="114"/>
      <c r="H31" s="101"/>
    </row>
    <row r="32" spans="2:8" ht="18" customHeight="1" x14ac:dyDescent="0.3">
      <c r="B32" s="210" t="s">
        <v>95</v>
      </c>
      <c r="C32" s="211"/>
      <c r="D32" s="212"/>
      <c r="E32" s="212"/>
      <c r="F32" s="212"/>
      <c r="G32" s="213"/>
      <c r="H32" s="102">
        <v>0.08</v>
      </c>
    </row>
    <row r="33" spans="1:17" ht="18" customHeight="1" x14ac:dyDescent="0.3">
      <c r="B33" s="103"/>
      <c r="C33" s="104"/>
      <c r="D33" s="77"/>
      <c r="E33" s="105"/>
      <c r="F33" s="106"/>
      <c r="G33" s="105"/>
      <c r="H33" s="107"/>
    </row>
    <row r="34" spans="1:17" ht="18" customHeight="1" x14ac:dyDescent="0.3">
      <c r="B34" s="225" t="s">
        <v>96</v>
      </c>
      <c r="C34" s="226"/>
      <c r="D34" s="227"/>
      <c r="E34" s="227"/>
      <c r="F34" s="227"/>
      <c r="G34" s="227"/>
      <c r="H34" s="228"/>
    </row>
    <row r="35" spans="1:17" ht="22.5" customHeight="1" x14ac:dyDescent="0.3">
      <c r="B35" s="214" t="s">
        <v>13</v>
      </c>
      <c r="C35" s="215"/>
      <c r="D35" s="123" t="s">
        <v>14</v>
      </c>
      <c r="E35" s="124" t="s">
        <v>79</v>
      </c>
      <c r="F35" s="124" t="s">
        <v>97</v>
      </c>
      <c r="G35" s="124" t="s">
        <v>98</v>
      </c>
      <c r="H35" s="125" t="s">
        <v>99</v>
      </c>
    </row>
    <row r="36" spans="1:17" ht="18" customHeight="1" x14ac:dyDescent="0.3">
      <c r="B36" s="229"/>
      <c r="C36" s="230"/>
      <c r="D36" s="126"/>
      <c r="E36" s="127"/>
      <c r="F36" s="128"/>
      <c r="G36" s="128"/>
      <c r="H36" s="121"/>
    </row>
    <row r="37" spans="1:17" ht="18" customHeight="1" x14ac:dyDescent="0.3">
      <c r="B37" s="231"/>
      <c r="C37" s="232"/>
      <c r="D37" s="129"/>
      <c r="E37" s="130"/>
      <c r="F37" s="131"/>
      <c r="G37" s="131"/>
      <c r="H37" s="101"/>
    </row>
    <row r="38" spans="1:17" ht="18" customHeight="1" x14ac:dyDescent="0.3">
      <c r="B38" s="210" t="s">
        <v>100</v>
      </c>
      <c r="C38" s="211"/>
      <c r="D38" s="212"/>
      <c r="E38" s="212"/>
      <c r="F38" s="212"/>
      <c r="G38" s="213"/>
      <c r="H38" s="102">
        <v>0</v>
      </c>
    </row>
    <row r="39" spans="1:17" ht="16.5" thickBot="1" x14ac:dyDescent="0.35">
      <c r="B39" s="132" t="s">
        <v>101</v>
      </c>
      <c r="C39" s="104"/>
      <c r="D39" s="104"/>
      <c r="E39" s="104"/>
      <c r="F39" s="104"/>
      <c r="G39" s="104"/>
      <c r="H39" s="133"/>
    </row>
    <row r="40" spans="1:17" x14ac:dyDescent="0.3">
      <c r="A40" s="88"/>
      <c r="B40" s="115"/>
      <c r="C40" s="116"/>
      <c r="D40" s="134"/>
      <c r="E40" s="135" t="s">
        <v>102</v>
      </c>
      <c r="F40" s="136"/>
      <c r="G40" s="136"/>
      <c r="H40" s="137">
        <f>ROUND(H16+H26+H32+H38,4)</f>
        <v>1.24</v>
      </c>
      <c r="I40" s="89"/>
      <c r="L40" s="138"/>
      <c r="M40" s="138"/>
      <c r="N40" s="138"/>
      <c r="O40" s="138"/>
      <c r="P40" s="138"/>
      <c r="Q40" s="138"/>
    </row>
    <row r="41" spans="1:17" x14ac:dyDescent="0.3">
      <c r="A41" s="88"/>
      <c r="B41" s="139"/>
      <c r="C41" s="140"/>
      <c r="D41" s="140"/>
      <c r="E41" s="141" t="s">
        <v>103</v>
      </c>
      <c r="F41" s="142"/>
      <c r="G41" s="142" t="s">
        <v>104</v>
      </c>
      <c r="H41" s="143">
        <f>ROUND(G41*H40,2)</f>
        <v>0.25</v>
      </c>
      <c r="I41" s="89"/>
      <c r="L41" s="144"/>
      <c r="M41" s="144"/>
      <c r="N41" s="144"/>
      <c r="O41" s="144"/>
      <c r="P41" s="144"/>
      <c r="Q41" s="144"/>
    </row>
    <row r="42" spans="1:17" x14ac:dyDescent="0.3">
      <c r="A42" s="88"/>
      <c r="B42" s="145"/>
      <c r="C42" s="146"/>
      <c r="D42" s="77"/>
      <c r="E42" s="147" t="s">
        <v>105</v>
      </c>
      <c r="F42" s="148"/>
      <c r="G42" s="148"/>
      <c r="H42" s="149"/>
      <c r="I42" s="89"/>
    </row>
    <row r="43" spans="1:17" ht="16.5" thickBot="1" x14ac:dyDescent="0.35">
      <c r="A43" s="88"/>
      <c r="B43" s="208" t="s">
        <v>60</v>
      </c>
      <c r="C43" s="209"/>
      <c r="D43" s="209"/>
      <c r="E43" s="150" t="s">
        <v>106</v>
      </c>
      <c r="F43" s="151"/>
      <c r="G43" s="152"/>
      <c r="H43" s="153">
        <f>H40+H41</f>
        <v>1.49</v>
      </c>
      <c r="I43" s="89"/>
    </row>
    <row r="44" spans="1:17" ht="16.5" thickBot="1" x14ac:dyDescent="0.35">
      <c r="A44" s="88"/>
      <c r="B44" s="206" t="s">
        <v>62</v>
      </c>
      <c r="C44" s="207"/>
      <c r="D44" s="207"/>
      <c r="E44" s="154" t="s">
        <v>107</v>
      </c>
      <c r="F44" s="155"/>
      <c r="G44" s="155"/>
      <c r="H44" s="156">
        <f>ROUND(H43,2)</f>
        <v>1.49</v>
      </c>
      <c r="I44" s="89"/>
    </row>
    <row r="45" spans="1:17" x14ac:dyDescent="0.3">
      <c r="B45" s="157"/>
      <c r="C45" s="157"/>
      <c r="D45" s="158"/>
      <c r="E45" s="159"/>
      <c r="F45" s="160"/>
      <c r="G45" s="159"/>
      <c r="H45" s="159"/>
    </row>
    <row r="46" spans="1:17" x14ac:dyDescent="0.3">
      <c r="B46" s="161"/>
      <c r="C46" s="161"/>
      <c r="D46" s="162"/>
      <c r="E46" s="163"/>
      <c r="F46" s="163"/>
      <c r="G46" s="163"/>
      <c r="H46" s="163"/>
    </row>
  </sheetData>
  <sheetProtection formatCells="0" formatColumns="0" formatRows="0" insertColumns="0" insertRows="0" insertHyperlinks="0" deleteColumns="0" deleteRows="0" sort="0" autoFilter="0" pivotTables="0"/>
  <mergeCells count="33">
    <mergeCell ref="B11:C11"/>
    <mergeCell ref="B12:C12"/>
    <mergeCell ref="B2:H2"/>
    <mergeCell ref="B3:H3"/>
    <mergeCell ref="B8:H8"/>
    <mergeCell ref="B9:C9"/>
    <mergeCell ref="B10:C10"/>
    <mergeCell ref="B4:H4"/>
    <mergeCell ref="B18:H18"/>
    <mergeCell ref="B16:G16"/>
    <mergeCell ref="B15:C15"/>
    <mergeCell ref="B13:C13"/>
    <mergeCell ref="B14:C14"/>
    <mergeCell ref="B28:H28"/>
    <mergeCell ref="B26:G26"/>
    <mergeCell ref="B25:C25"/>
    <mergeCell ref="B20:C20"/>
    <mergeCell ref="B19:C19"/>
    <mergeCell ref="B21:C21"/>
    <mergeCell ref="B22:C22"/>
    <mergeCell ref="B23:C23"/>
    <mergeCell ref="B24:C24"/>
    <mergeCell ref="B30:D30"/>
    <mergeCell ref="B32:G32"/>
    <mergeCell ref="B29:D29"/>
    <mergeCell ref="B34:H34"/>
    <mergeCell ref="B36:C36"/>
    <mergeCell ref="B44:D44"/>
    <mergeCell ref="B43:D43"/>
    <mergeCell ref="B38:G38"/>
    <mergeCell ref="B35:C35"/>
    <mergeCell ref="B31:D31"/>
    <mergeCell ref="B37:C37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5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193</v>
      </c>
    </row>
    <row r="6" spans="1:17" x14ac:dyDescent="0.3">
      <c r="B6" s="82" t="s">
        <v>75</v>
      </c>
      <c r="C6" s="83" t="s">
        <v>39</v>
      </c>
      <c r="D6" s="79"/>
      <c r="E6" s="80"/>
      <c r="F6" s="80"/>
      <c r="G6" s="84" t="s">
        <v>14</v>
      </c>
      <c r="H6" s="85" t="s">
        <v>34</v>
      </c>
    </row>
    <row r="7" spans="1:17" x14ac:dyDescent="0.3">
      <c r="B7" s="86" t="s">
        <v>76</v>
      </c>
      <c r="C7" s="79" t="s">
        <v>194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</v>
      </c>
    </row>
    <row r="11" spans="1:17" ht="18" customHeight="1" x14ac:dyDescent="0.3">
      <c r="B11" s="248" t="s">
        <v>195</v>
      </c>
      <c r="C11" s="220"/>
      <c r="D11" s="111">
        <v>1</v>
      </c>
      <c r="E11" s="111">
        <v>16.79</v>
      </c>
      <c r="F11" s="111">
        <f>IF(ISNUMBER(D11),D11*E11,)</f>
        <v>16.79</v>
      </c>
      <c r="G11" s="111">
        <v>2.5000000000000001E-3</v>
      </c>
      <c r="H11" s="113">
        <v>0.04</v>
      </c>
    </row>
    <row r="12" spans="1:17" ht="18" customHeight="1" x14ac:dyDescent="0.3">
      <c r="B12" s="248" t="s">
        <v>196</v>
      </c>
      <c r="C12" s="220"/>
      <c r="D12" s="111">
        <v>1</v>
      </c>
      <c r="E12" s="111">
        <v>1.75</v>
      </c>
      <c r="F12" s="111">
        <f>IF(ISNUMBER(D12),D12*E12,)</f>
        <v>1.75</v>
      </c>
      <c r="G12" s="111">
        <v>2.5000000000000001E-3</v>
      </c>
      <c r="H12" s="113">
        <v>0</v>
      </c>
    </row>
    <row r="13" spans="1:17" ht="18" customHeight="1" x14ac:dyDescent="0.3">
      <c r="B13" s="248" t="s">
        <v>197</v>
      </c>
      <c r="C13" s="220"/>
      <c r="D13" s="111">
        <v>2</v>
      </c>
      <c r="E13" s="111">
        <v>0.45</v>
      </c>
      <c r="F13" s="111">
        <f>IF(ISNUMBER(D13),D13*E13,)</f>
        <v>0.9</v>
      </c>
      <c r="G13" s="111">
        <v>2.5000000000000001E-3</v>
      </c>
      <c r="H13" s="113">
        <v>0</v>
      </c>
    </row>
    <row r="14" spans="1:17" ht="18" customHeight="1" x14ac:dyDescent="0.3">
      <c r="B14" s="235"/>
      <c r="C14" s="236"/>
      <c r="D14" s="99"/>
      <c r="E14" s="99"/>
      <c r="F14" s="99"/>
      <c r="G14" s="100"/>
      <c r="H14" s="101"/>
    </row>
    <row r="15" spans="1:17" ht="18" customHeight="1" x14ac:dyDescent="0.3">
      <c r="B15" s="210" t="s">
        <v>86</v>
      </c>
      <c r="C15" s="211"/>
      <c r="D15" s="212"/>
      <c r="E15" s="212"/>
      <c r="F15" s="212"/>
      <c r="G15" s="213"/>
      <c r="H15" s="102">
        <v>0.04</v>
      </c>
    </row>
    <row r="16" spans="1:17" ht="18" customHeight="1" x14ac:dyDescent="0.3">
      <c r="B16" s="103"/>
      <c r="C16" s="104"/>
      <c r="D16" s="77"/>
      <c r="E16" s="105"/>
      <c r="F16" s="106"/>
      <c r="G16" s="105"/>
      <c r="H16" s="107"/>
    </row>
    <row r="17" spans="2:8" ht="18" customHeight="1" x14ac:dyDescent="0.3">
      <c r="B17" s="225" t="s">
        <v>87</v>
      </c>
      <c r="C17" s="226"/>
      <c r="D17" s="227"/>
      <c r="E17" s="227"/>
      <c r="F17" s="227"/>
      <c r="G17" s="227"/>
      <c r="H17" s="228"/>
    </row>
    <row r="18" spans="2:8" ht="20.25" customHeight="1" x14ac:dyDescent="0.3">
      <c r="B18" s="214" t="s">
        <v>13</v>
      </c>
      <c r="C18" s="215"/>
      <c r="D18" s="108" t="s">
        <v>79</v>
      </c>
      <c r="E18" s="91" t="s">
        <v>88</v>
      </c>
      <c r="F18" s="109" t="s">
        <v>81</v>
      </c>
      <c r="G18" s="108" t="s">
        <v>82</v>
      </c>
      <c r="H18" s="110" t="s">
        <v>83</v>
      </c>
    </row>
    <row r="19" spans="2:8" ht="18" customHeight="1" x14ac:dyDescent="0.3">
      <c r="B19" s="233" t="s">
        <v>198</v>
      </c>
      <c r="C19" s="234"/>
      <c r="D19" s="97">
        <v>1</v>
      </c>
      <c r="E19" s="97">
        <v>4.3899999999999997</v>
      </c>
      <c r="F19" s="97">
        <f>IF(ISNUMBER(D19),D19*E19,)</f>
        <v>4.3899999999999997</v>
      </c>
      <c r="G19" s="97">
        <v>2.5000000000000001E-3</v>
      </c>
      <c r="H19" s="98">
        <v>0.01</v>
      </c>
    </row>
    <row r="20" spans="2:8" ht="18" customHeight="1" x14ac:dyDescent="0.3">
      <c r="B20" s="248" t="s">
        <v>199</v>
      </c>
      <c r="C20" s="249"/>
      <c r="D20" s="111">
        <v>1</v>
      </c>
      <c r="E20" s="112">
        <v>4.3899999999999997</v>
      </c>
      <c r="F20" s="111">
        <f>IF(ISNUMBER(D20),D20*E20,)</f>
        <v>4.3899999999999997</v>
      </c>
      <c r="G20" s="111">
        <v>2.5000000000000001E-3</v>
      </c>
      <c r="H20" s="113">
        <v>0.01</v>
      </c>
    </row>
    <row r="21" spans="2:8" ht="18" customHeight="1" x14ac:dyDescent="0.3">
      <c r="B21" s="248" t="s">
        <v>126</v>
      </c>
      <c r="C21" s="249"/>
      <c r="D21" s="111">
        <v>1</v>
      </c>
      <c r="E21" s="112">
        <v>4.3899999999999997</v>
      </c>
      <c r="F21" s="111">
        <f>IF(ISNUMBER(D21),D21*E21,)</f>
        <v>4.3899999999999997</v>
      </c>
      <c r="G21" s="111">
        <v>2.5000000000000001E-3</v>
      </c>
      <c r="H21" s="113">
        <v>0.01</v>
      </c>
    </row>
    <row r="22" spans="2:8" ht="18" customHeight="1" x14ac:dyDescent="0.3">
      <c r="B22" s="235"/>
      <c r="C22" s="236"/>
      <c r="D22" s="99"/>
      <c r="E22" s="114"/>
      <c r="F22" s="99"/>
      <c r="G22" s="99"/>
      <c r="H22" s="101"/>
    </row>
    <row r="23" spans="2:8" ht="18" customHeight="1" x14ac:dyDescent="0.3">
      <c r="B23" s="210" t="s">
        <v>91</v>
      </c>
      <c r="C23" s="211"/>
      <c r="D23" s="212"/>
      <c r="E23" s="212"/>
      <c r="F23" s="212"/>
      <c r="G23" s="213"/>
      <c r="H23" s="102">
        <v>0.03</v>
      </c>
    </row>
    <row r="24" spans="2:8" ht="18" customHeight="1" x14ac:dyDescent="0.3">
      <c r="B24" s="115"/>
      <c r="C24" s="116"/>
      <c r="D24" s="116"/>
      <c r="E24" s="116"/>
      <c r="F24" s="116"/>
      <c r="G24" s="116"/>
      <c r="H24" s="117"/>
    </row>
    <row r="25" spans="2:8" ht="18" customHeight="1" x14ac:dyDescent="0.3">
      <c r="B25" s="225" t="s">
        <v>92</v>
      </c>
      <c r="C25" s="226"/>
      <c r="D25" s="227"/>
      <c r="E25" s="227"/>
      <c r="F25" s="227"/>
      <c r="G25" s="227"/>
      <c r="H25" s="228"/>
    </row>
    <row r="26" spans="2:8" ht="20.25" customHeight="1" x14ac:dyDescent="0.3">
      <c r="B26" s="222" t="s">
        <v>13</v>
      </c>
      <c r="C26" s="223"/>
      <c r="D26" s="224"/>
      <c r="E26" s="118" t="s">
        <v>14</v>
      </c>
      <c r="F26" s="90" t="s">
        <v>79</v>
      </c>
      <c r="G26" s="91" t="s">
        <v>93</v>
      </c>
      <c r="H26" s="92" t="s">
        <v>94</v>
      </c>
    </row>
    <row r="27" spans="2:8" ht="18" customHeight="1" x14ac:dyDescent="0.3">
      <c r="B27" s="250" t="s">
        <v>200</v>
      </c>
      <c r="C27" s="245"/>
      <c r="D27" s="251"/>
      <c r="E27" s="164" t="s">
        <v>201</v>
      </c>
      <c r="F27" s="165">
        <v>1.5E-3</v>
      </c>
      <c r="G27" s="165">
        <v>16.7</v>
      </c>
      <c r="H27" s="98">
        <v>0.03</v>
      </c>
    </row>
    <row r="28" spans="2:8" ht="18" customHeight="1" x14ac:dyDescent="0.3">
      <c r="B28" s="219" t="s">
        <v>202</v>
      </c>
      <c r="C28" s="220"/>
      <c r="D28" s="221"/>
      <c r="E28" s="166" t="s">
        <v>201</v>
      </c>
      <c r="F28" s="167">
        <v>1.5E-3</v>
      </c>
      <c r="G28" s="167">
        <v>18.7</v>
      </c>
      <c r="H28" s="113">
        <v>0.03</v>
      </c>
    </row>
    <row r="29" spans="2:8" ht="18" customHeight="1" x14ac:dyDescent="0.3">
      <c r="B29" s="219" t="s">
        <v>203</v>
      </c>
      <c r="C29" s="220"/>
      <c r="D29" s="221"/>
      <c r="E29" s="166" t="s">
        <v>117</v>
      </c>
      <c r="F29" s="167">
        <v>2.5000000000000001E-3</v>
      </c>
      <c r="G29" s="167">
        <v>13.95</v>
      </c>
      <c r="H29" s="113">
        <v>0.03</v>
      </c>
    </row>
    <row r="30" spans="2:8" ht="18" customHeight="1" x14ac:dyDescent="0.3">
      <c r="B30" s="216"/>
      <c r="C30" s="217"/>
      <c r="D30" s="218"/>
      <c r="E30" s="122"/>
      <c r="F30" s="114"/>
      <c r="G30" s="114"/>
      <c r="H30" s="101"/>
    </row>
    <row r="31" spans="2:8" ht="18" customHeight="1" x14ac:dyDescent="0.3">
      <c r="B31" s="210" t="s">
        <v>95</v>
      </c>
      <c r="C31" s="211"/>
      <c r="D31" s="212"/>
      <c r="E31" s="212"/>
      <c r="F31" s="212"/>
      <c r="G31" s="213"/>
      <c r="H31" s="102">
        <v>0.09</v>
      </c>
    </row>
    <row r="32" spans="2:8" ht="18" customHeight="1" x14ac:dyDescent="0.3">
      <c r="B32" s="103"/>
      <c r="C32" s="104"/>
      <c r="D32" s="77"/>
      <c r="E32" s="105"/>
      <c r="F32" s="106"/>
      <c r="G32" s="105"/>
      <c r="H32" s="107"/>
    </row>
    <row r="33" spans="1:17" ht="18" customHeight="1" x14ac:dyDescent="0.3">
      <c r="B33" s="225" t="s">
        <v>96</v>
      </c>
      <c r="C33" s="226"/>
      <c r="D33" s="227"/>
      <c r="E33" s="227"/>
      <c r="F33" s="227"/>
      <c r="G33" s="227"/>
      <c r="H33" s="228"/>
    </row>
    <row r="34" spans="1:17" ht="22.5" customHeight="1" x14ac:dyDescent="0.3">
      <c r="B34" s="214" t="s">
        <v>13</v>
      </c>
      <c r="C34" s="215"/>
      <c r="D34" s="123" t="s">
        <v>14</v>
      </c>
      <c r="E34" s="124" t="s">
        <v>79</v>
      </c>
      <c r="F34" s="124" t="s">
        <v>97</v>
      </c>
      <c r="G34" s="124" t="s">
        <v>98</v>
      </c>
      <c r="H34" s="125" t="s">
        <v>99</v>
      </c>
    </row>
    <row r="35" spans="1:17" ht="18" customHeight="1" x14ac:dyDescent="0.3">
      <c r="B35" s="229"/>
      <c r="C35" s="230"/>
      <c r="D35" s="126"/>
      <c r="E35" s="127"/>
      <c r="F35" s="128"/>
      <c r="G35" s="128"/>
      <c r="H35" s="121"/>
    </row>
    <row r="36" spans="1:17" ht="18" customHeight="1" x14ac:dyDescent="0.3">
      <c r="B36" s="231"/>
      <c r="C36" s="232"/>
      <c r="D36" s="129"/>
      <c r="E36" s="130"/>
      <c r="F36" s="131"/>
      <c r="G36" s="131"/>
      <c r="H36" s="101"/>
    </row>
    <row r="37" spans="1:17" ht="18" customHeight="1" x14ac:dyDescent="0.3">
      <c r="B37" s="210" t="s">
        <v>100</v>
      </c>
      <c r="C37" s="211"/>
      <c r="D37" s="212"/>
      <c r="E37" s="212"/>
      <c r="F37" s="212"/>
      <c r="G37" s="213"/>
      <c r="H37" s="102">
        <v>0</v>
      </c>
    </row>
    <row r="38" spans="1:17" ht="16.5" thickBot="1" x14ac:dyDescent="0.35">
      <c r="B38" s="132" t="s">
        <v>101</v>
      </c>
      <c r="C38" s="104"/>
      <c r="D38" s="104"/>
      <c r="E38" s="104"/>
      <c r="F38" s="104"/>
      <c r="G38" s="104"/>
      <c r="H38" s="133"/>
    </row>
    <row r="39" spans="1:17" x14ac:dyDescent="0.3">
      <c r="A39" s="88"/>
      <c r="B39" s="115"/>
      <c r="C39" s="116"/>
      <c r="D39" s="134"/>
      <c r="E39" s="135" t="s">
        <v>102</v>
      </c>
      <c r="F39" s="136"/>
      <c r="G39" s="136"/>
      <c r="H39" s="137">
        <f>ROUND(H15+H23+H31+H37,4)</f>
        <v>0.16</v>
      </c>
      <c r="I39" s="89"/>
      <c r="L39" s="138"/>
      <c r="M39" s="138"/>
      <c r="N39" s="138"/>
      <c r="O39" s="138"/>
      <c r="P39" s="138"/>
      <c r="Q39" s="138"/>
    </row>
    <row r="40" spans="1:17" x14ac:dyDescent="0.3">
      <c r="A40" s="88"/>
      <c r="B40" s="139"/>
      <c r="C40" s="140"/>
      <c r="D40" s="140"/>
      <c r="E40" s="141" t="s">
        <v>103</v>
      </c>
      <c r="F40" s="142"/>
      <c r="G40" s="142" t="s">
        <v>104</v>
      </c>
      <c r="H40" s="143">
        <f>ROUND(G40*H39,2)</f>
        <v>0.03</v>
      </c>
      <c r="I40" s="89"/>
      <c r="L40" s="144"/>
      <c r="M40" s="144"/>
      <c r="N40" s="144"/>
      <c r="O40" s="144"/>
      <c r="P40" s="144"/>
      <c r="Q40" s="144"/>
    </row>
    <row r="41" spans="1:17" x14ac:dyDescent="0.3">
      <c r="A41" s="88"/>
      <c r="B41" s="145"/>
      <c r="C41" s="146"/>
      <c r="D41" s="77"/>
      <c r="E41" s="147" t="s">
        <v>105</v>
      </c>
      <c r="F41" s="148"/>
      <c r="G41" s="148"/>
      <c r="H41" s="149"/>
      <c r="I41" s="89"/>
    </row>
    <row r="42" spans="1:17" ht="16.5" thickBot="1" x14ac:dyDescent="0.35">
      <c r="A42" s="88"/>
      <c r="B42" s="208" t="s">
        <v>60</v>
      </c>
      <c r="C42" s="209"/>
      <c r="D42" s="209"/>
      <c r="E42" s="150" t="s">
        <v>106</v>
      </c>
      <c r="F42" s="151"/>
      <c r="G42" s="152"/>
      <c r="H42" s="153">
        <f>H39+H40</f>
        <v>0.19</v>
      </c>
      <c r="I42" s="89"/>
    </row>
    <row r="43" spans="1:17" ht="16.5" thickBot="1" x14ac:dyDescent="0.35">
      <c r="A43" s="88"/>
      <c r="B43" s="206" t="s">
        <v>62</v>
      </c>
      <c r="C43" s="207"/>
      <c r="D43" s="207"/>
      <c r="E43" s="154" t="s">
        <v>107</v>
      </c>
      <c r="F43" s="155"/>
      <c r="G43" s="155"/>
      <c r="H43" s="156">
        <f>ROUND(H42,2)</f>
        <v>0.19</v>
      </c>
      <c r="I43" s="89"/>
    </row>
    <row r="44" spans="1:17" x14ac:dyDescent="0.3">
      <c r="B44" s="157"/>
      <c r="C44" s="157"/>
      <c r="D44" s="158"/>
      <c r="E44" s="159"/>
      <c r="F44" s="160"/>
      <c r="G44" s="159"/>
      <c r="H44" s="159"/>
    </row>
    <row r="45" spans="1:17" x14ac:dyDescent="0.3">
      <c r="B45" s="161"/>
      <c r="C45" s="161"/>
      <c r="D45" s="162"/>
      <c r="E45" s="163"/>
      <c r="F45" s="163"/>
      <c r="G45" s="163"/>
      <c r="H45" s="163"/>
    </row>
  </sheetData>
  <sheetProtection formatCells="0" formatColumns="0" formatRows="0" insertColumns="0" insertRows="0" insertHyperlinks="0" deleteColumns="0" deleteRows="0" sort="0" autoFilter="0" pivotTables="0"/>
  <mergeCells count="32">
    <mergeCell ref="B29:D29"/>
    <mergeCell ref="B23:G23"/>
    <mergeCell ref="B27:D27"/>
    <mergeCell ref="B26:D26"/>
    <mergeCell ref="B25:H25"/>
    <mergeCell ref="B28:D28"/>
    <mergeCell ref="B14:C14"/>
    <mergeCell ref="B13:C13"/>
    <mergeCell ref="B20:C20"/>
    <mergeCell ref="B21:C21"/>
    <mergeCell ref="B2:H2"/>
    <mergeCell ref="B3:H3"/>
    <mergeCell ref="B8:H8"/>
    <mergeCell ref="B9:C9"/>
    <mergeCell ref="B10:C10"/>
    <mergeCell ref="B4:H4"/>
    <mergeCell ref="B11:C11"/>
    <mergeCell ref="B12:C12"/>
    <mergeCell ref="B22:C22"/>
    <mergeCell ref="B19:C19"/>
    <mergeCell ref="B18:C18"/>
    <mergeCell ref="B17:H17"/>
    <mergeCell ref="B15:G15"/>
    <mergeCell ref="B43:D43"/>
    <mergeCell ref="B42:D42"/>
    <mergeCell ref="B37:G37"/>
    <mergeCell ref="B34:C34"/>
    <mergeCell ref="B30:D30"/>
    <mergeCell ref="B31:G31"/>
    <mergeCell ref="B33:H33"/>
    <mergeCell ref="B35:C35"/>
    <mergeCell ref="B36:C36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3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204</v>
      </c>
    </row>
    <row r="6" spans="1:17" x14ac:dyDescent="0.3">
      <c r="B6" s="82" t="s">
        <v>75</v>
      </c>
      <c r="C6" s="83" t="s">
        <v>40</v>
      </c>
      <c r="D6" s="79"/>
      <c r="E6" s="80"/>
      <c r="F6" s="80"/>
      <c r="G6" s="84" t="s">
        <v>14</v>
      </c>
      <c r="H6" s="85" t="s">
        <v>25</v>
      </c>
    </row>
    <row r="7" spans="1:17" x14ac:dyDescent="0.3">
      <c r="B7" s="86" t="s">
        <v>76</v>
      </c>
      <c r="C7" s="79" t="s">
        <v>205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0.87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0.87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1</v>
      </c>
      <c r="E16" s="97">
        <v>4.34</v>
      </c>
      <c r="F16" s="97">
        <f>IF(ISNUMBER(D16),D16*E16,)</f>
        <v>4.34</v>
      </c>
      <c r="G16" s="97">
        <v>1.28</v>
      </c>
      <c r="H16" s="98">
        <v>5.56</v>
      </c>
    </row>
    <row r="17" spans="2:8" ht="18" customHeight="1" x14ac:dyDescent="0.3">
      <c r="B17" s="248" t="s">
        <v>90</v>
      </c>
      <c r="C17" s="249"/>
      <c r="D17" s="111">
        <v>1</v>
      </c>
      <c r="E17" s="112">
        <v>4.87</v>
      </c>
      <c r="F17" s="111">
        <f>IF(ISNUMBER(D17),D17*E17,)</f>
        <v>4.87</v>
      </c>
      <c r="G17" s="111">
        <v>1.28</v>
      </c>
      <c r="H17" s="113">
        <v>6.23</v>
      </c>
    </row>
    <row r="18" spans="2:8" ht="18" customHeight="1" x14ac:dyDescent="0.3">
      <c r="B18" s="248" t="s">
        <v>126</v>
      </c>
      <c r="C18" s="249"/>
      <c r="D18" s="111">
        <v>1</v>
      </c>
      <c r="E18" s="112">
        <v>4.3899999999999997</v>
      </c>
      <c r="F18" s="111">
        <f>IF(ISNUMBER(D18),D18*E18,)</f>
        <v>4.3899999999999997</v>
      </c>
      <c r="G18" s="111">
        <v>1.28</v>
      </c>
      <c r="H18" s="113">
        <v>5.62</v>
      </c>
    </row>
    <row r="19" spans="2:8" ht="18" customHeight="1" x14ac:dyDescent="0.3">
      <c r="B19" s="235"/>
      <c r="C19" s="236"/>
      <c r="D19" s="99"/>
      <c r="E19" s="114"/>
      <c r="F19" s="99"/>
      <c r="G19" s="99"/>
      <c r="H19" s="101"/>
    </row>
    <row r="20" spans="2:8" ht="18" customHeight="1" x14ac:dyDescent="0.3">
      <c r="B20" s="210" t="s">
        <v>91</v>
      </c>
      <c r="C20" s="211"/>
      <c r="D20" s="212"/>
      <c r="E20" s="212"/>
      <c r="F20" s="212"/>
      <c r="G20" s="213"/>
      <c r="H20" s="102">
        <v>17.41</v>
      </c>
    </row>
    <row r="21" spans="2:8" ht="18" customHeight="1" x14ac:dyDescent="0.3">
      <c r="B21" s="115"/>
      <c r="C21" s="116"/>
      <c r="D21" s="116"/>
      <c r="E21" s="116"/>
      <c r="F21" s="116"/>
      <c r="G21" s="116"/>
      <c r="H21" s="117"/>
    </row>
    <row r="22" spans="2:8" ht="18" customHeight="1" x14ac:dyDescent="0.3">
      <c r="B22" s="225" t="s">
        <v>92</v>
      </c>
      <c r="C22" s="226"/>
      <c r="D22" s="227"/>
      <c r="E22" s="227"/>
      <c r="F22" s="227"/>
      <c r="G22" s="227"/>
      <c r="H22" s="228"/>
    </row>
    <row r="23" spans="2:8" ht="20.25" customHeight="1" x14ac:dyDescent="0.3">
      <c r="B23" s="222" t="s">
        <v>13</v>
      </c>
      <c r="C23" s="223"/>
      <c r="D23" s="224"/>
      <c r="E23" s="118" t="s">
        <v>14</v>
      </c>
      <c r="F23" s="90" t="s">
        <v>79</v>
      </c>
      <c r="G23" s="91" t="s">
        <v>93</v>
      </c>
      <c r="H23" s="92" t="s">
        <v>94</v>
      </c>
    </row>
    <row r="24" spans="2:8" ht="18" customHeight="1" x14ac:dyDescent="0.3">
      <c r="B24" s="250" t="s">
        <v>206</v>
      </c>
      <c r="C24" s="245"/>
      <c r="D24" s="251"/>
      <c r="E24" s="164" t="s">
        <v>43</v>
      </c>
      <c r="F24" s="165">
        <v>7.2099999999999997E-2</v>
      </c>
      <c r="G24" s="165">
        <v>62.33</v>
      </c>
      <c r="H24" s="98">
        <v>4.49</v>
      </c>
    </row>
    <row r="25" spans="2:8" ht="18" customHeight="1" x14ac:dyDescent="0.3">
      <c r="B25" s="219" t="s">
        <v>207</v>
      </c>
      <c r="C25" s="220"/>
      <c r="D25" s="221"/>
      <c r="E25" s="166" t="s">
        <v>43</v>
      </c>
      <c r="F25" s="167">
        <v>0.28499999999999998</v>
      </c>
      <c r="G25" s="167">
        <v>89.96</v>
      </c>
      <c r="H25" s="113">
        <v>25.64</v>
      </c>
    </row>
    <row r="26" spans="2:8" ht="18" customHeight="1" x14ac:dyDescent="0.3">
      <c r="B26" s="219" t="s">
        <v>208</v>
      </c>
      <c r="C26" s="220"/>
      <c r="D26" s="221"/>
      <c r="E26" s="166" t="s">
        <v>25</v>
      </c>
      <c r="F26" s="167">
        <v>1</v>
      </c>
      <c r="G26" s="167">
        <v>30.5</v>
      </c>
      <c r="H26" s="113">
        <v>30.5</v>
      </c>
    </row>
    <row r="27" spans="2:8" ht="18" customHeight="1" x14ac:dyDescent="0.3">
      <c r="B27" s="219" t="s">
        <v>209</v>
      </c>
      <c r="C27" s="220"/>
      <c r="D27" s="221"/>
      <c r="E27" s="166" t="s">
        <v>34</v>
      </c>
      <c r="F27" s="167">
        <v>0.2</v>
      </c>
      <c r="G27" s="167">
        <v>4.25</v>
      </c>
      <c r="H27" s="113">
        <v>0.85</v>
      </c>
    </row>
    <row r="28" spans="2:8" ht="18" customHeight="1" x14ac:dyDescent="0.3">
      <c r="B28" s="216"/>
      <c r="C28" s="217"/>
      <c r="D28" s="218"/>
      <c r="E28" s="122"/>
      <c r="F28" s="114"/>
      <c r="G28" s="114"/>
      <c r="H28" s="101"/>
    </row>
    <row r="29" spans="2:8" ht="18" customHeight="1" x14ac:dyDescent="0.3">
      <c r="B29" s="210" t="s">
        <v>95</v>
      </c>
      <c r="C29" s="211"/>
      <c r="D29" s="212"/>
      <c r="E29" s="212"/>
      <c r="F29" s="212"/>
      <c r="G29" s="213"/>
      <c r="H29" s="102">
        <v>61.480000000000004</v>
      </c>
    </row>
    <row r="30" spans="2:8" ht="18" customHeight="1" x14ac:dyDescent="0.3">
      <c r="B30" s="103"/>
      <c r="C30" s="104"/>
      <c r="D30" s="77"/>
      <c r="E30" s="105"/>
      <c r="F30" s="106"/>
      <c r="G30" s="105"/>
      <c r="H30" s="107"/>
    </row>
    <row r="31" spans="2:8" ht="18" customHeight="1" x14ac:dyDescent="0.3">
      <c r="B31" s="225" t="s">
        <v>96</v>
      </c>
      <c r="C31" s="226"/>
      <c r="D31" s="227"/>
      <c r="E31" s="227"/>
      <c r="F31" s="227"/>
      <c r="G31" s="227"/>
      <c r="H31" s="228"/>
    </row>
    <row r="32" spans="2:8" ht="22.5" customHeight="1" x14ac:dyDescent="0.3">
      <c r="B32" s="214" t="s">
        <v>13</v>
      </c>
      <c r="C32" s="215"/>
      <c r="D32" s="123" t="s">
        <v>14</v>
      </c>
      <c r="E32" s="124" t="s">
        <v>79</v>
      </c>
      <c r="F32" s="124" t="s">
        <v>97</v>
      </c>
      <c r="G32" s="124" t="s">
        <v>98</v>
      </c>
      <c r="H32" s="125" t="s">
        <v>99</v>
      </c>
    </row>
    <row r="33" spans="1:17" ht="18" customHeight="1" x14ac:dyDescent="0.3">
      <c r="B33" s="229"/>
      <c r="C33" s="230"/>
      <c r="D33" s="126"/>
      <c r="E33" s="127"/>
      <c r="F33" s="128"/>
      <c r="G33" s="128"/>
      <c r="H33" s="121"/>
    </row>
    <row r="34" spans="1:17" ht="18" customHeight="1" x14ac:dyDescent="0.3">
      <c r="B34" s="231"/>
      <c r="C34" s="232"/>
      <c r="D34" s="129"/>
      <c r="E34" s="130"/>
      <c r="F34" s="131"/>
      <c r="G34" s="131"/>
      <c r="H34" s="101"/>
    </row>
    <row r="35" spans="1:17" ht="18" customHeight="1" x14ac:dyDescent="0.3">
      <c r="B35" s="210" t="s">
        <v>100</v>
      </c>
      <c r="C35" s="211"/>
      <c r="D35" s="212"/>
      <c r="E35" s="212"/>
      <c r="F35" s="212"/>
      <c r="G35" s="213"/>
      <c r="H35" s="102">
        <v>0</v>
      </c>
    </row>
    <row r="36" spans="1:17" ht="16.5" thickBot="1" x14ac:dyDescent="0.35">
      <c r="B36" s="132" t="s">
        <v>101</v>
      </c>
      <c r="C36" s="104"/>
      <c r="D36" s="104"/>
      <c r="E36" s="104"/>
      <c r="F36" s="104"/>
      <c r="G36" s="104"/>
      <c r="H36" s="133"/>
    </row>
    <row r="37" spans="1:17" x14ac:dyDescent="0.3">
      <c r="A37" s="88"/>
      <c r="B37" s="115"/>
      <c r="C37" s="116"/>
      <c r="D37" s="134"/>
      <c r="E37" s="135" t="s">
        <v>102</v>
      </c>
      <c r="F37" s="136"/>
      <c r="G37" s="136"/>
      <c r="H37" s="137">
        <f>ROUND(H12+H20+H29+H35,4)</f>
        <v>79.760000000000005</v>
      </c>
      <c r="I37" s="89"/>
      <c r="L37" s="138"/>
      <c r="M37" s="138"/>
      <c r="N37" s="138"/>
      <c r="O37" s="138"/>
      <c r="P37" s="138"/>
      <c r="Q37" s="138"/>
    </row>
    <row r="38" spans="1:17" x14ac:dyDescent="0.3">
      <c r="A38" s="88"/>
      <c r="B38" s="139"/>
      <c r="C38" s="140"/>
      <c r="D38" s="140"/>
      <c r="E38" s="141" t="s">
        <v>103</v>
      </c>
      <c r="F38" s="142"/>
      <c r="G38" s="142" t="s">
        <v>104</v>
      </c>
      <c r="H38" s="143">
        <f>ROUND(G38*H37,2)</f>
        <v>15.95</v>
      </c>
      <c r="I38" s="89"/>
      <c r="L38" s="144"/>
      <c r="M38" s="144"/>
      <c r="N38" s="144"/>
      <c r="O38" s="144"/>
      <c r="P38" s="144"/>
      <c r="Q38" s="144"/>
    </row>
    <row r="39" spans="1:17" x14ac:dyDescent="0.3">
      <c r="A39" s="88"/>
      <c r="B39" s="145"/>
      <c r="C39" s="146"/>
      <c r="D39" s="77"/>
      <c r="E39" s="147" t="s">
        <v>105</v>
      </c>
      <c r="F39" s="148"/>
      <c r="G39" s="148"/>
      <c r="H39" s="149"/>
      <c r="I39" s="89"/>
    </row>
    <row r="40" spans="1:17" ht="16.5" thickBot="1" x14ac:dyDescent="0.35">
      <c r="A40" s="88"/>
      <c r="B40" s="208" t="s">
        <v>60</v>
      </c>
      <c r="C40" s="209"/>
      <c r="D40" s="209"/>
      <c r="E40" s="150" t="s">
        <v>106</v>
      </c>
      <c r="F40" s="151"/>
      <c r="G40" s="152"/>
      <c r="H40" s="153">
        <f>H37+H38</f>
        <v>95.710000000000008</v>
      </c>
      <c r="I40" s="89"/>
    </row>
    <row r="41" spans="1:17" ht="16.5" thickBot="1" x14ac:dyDescent="0.35">
      <c r="A41" s="88"/>
      <c r="B41" s="206" t="s">
        <v>62</v>
      </c>
      <c r="C41" s="207"/>
      <c r="D41" s="207"/>
      <c r="E41" s="154" t="s">
        <v>107</v>
      </c>
      <c r="F41" s="155"/>
      <c r="G41" s="155"/>
      <c r="H41" s="156">
        <f>ROUND(H40,2)</f>
        <v>95.71</v>
      </c>
      <c r="I41" s="89"/>
    </row>
    <row r="42" spans="1:17" x14ac:dyDescent="0.3">
      <c r="B42" s="157"/>
      <c r="C42" s="157"/>
      <c r="D42" s="158"/>
      <c r="E42" s="159"/>
      <c r="F42" s="160"/>
      <c r="G42" s="159"/>
      <c r="H42" s="159"/>
    </row>
    <row r="43" spans="1:17" x14ac:dyDescent="0.3">
      <c r="B43" s="161"/>
      <c r="C43" s="161"/>
      <c r="D43" s="162"/>
      <c r="E43" s="163"/>
      <c r="F43" s="163"/>
      <c r="G43" s="163"/>
      <c r="H43" s="163"/>
    </row>
  </sheetData>
  <sheetProtection formatCells="0" formatColumns="0" formatRows="0" insertColumns="0" insertRows="0" insertHyperlinks="0" deleteColumns="0" deleteRows="0" sort="0" autoFilter="0" pivotTables="0"/>
  <mergeCells count="30">
    <mergeCell ref="B26:D26"/>
    <mergeCell ref="B27:D27"/>
    <mergeCell ref="B20:G20"/>
    <mergeCell ref="B24:D24"/>
    <mergeCell ref="B23:D23"/>
    <mergeCell ref="B22:H22"/>
    <mergeCell ref="B25:D25"/>
    <mergeCell ref="B16:C16"/>
    <mergeCell ref="B19:C19"/>
    <mergeCell ref="B15:C15"/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17:C17"/>
    <mergeCell ref="B18:C18"/>
    <mergeCell ref="B41:D41"/>
    <mergeCell ref="B40:D40"/>
    <mergeCell ref="B35:G35"/>
    <mergeCell ref="B32:C32"/>
    <mergeCell ref="B28:D28"/>
    <mergeCell ref="B29:G29"/>
    <mergeCell ref="B31:H31"/>
    <mergeCell ref="B33:C33"/>
    <mergeCell ref="B34:C34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210</v>
      </c>
    </row>
    <row r="6" spans="1:17" x14ac:dyDescent="0.3">
      <c r="B6" s="82" t="s">
        <v>75</v>
      </c>
      <c r="C6" s="83" t="s">
        <v>42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211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0.28999999999999998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0.28999999999999998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1</v>
      </c>
      <c r="E16" s="97">
        <v>4.34</v>
      </c>
      <c r="F16" s="97">
        <f>IF(ISNUMBER(D16),D16*E16,)</f>
        <v>4.34</v>
      </c>
      <c r="G16" s="97">
        <v>1.3380000000000001</v>
      </c>
      <c r="H16" s="98">
        <v>5.81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5.81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212</v>
      </c>
      <c r="C22" s="245"/>
      <c r="D22" s="251"/>
      <c r="E22" s="164" t="s">
        <v>43</v>
      </c>
      <c r="F22" s="165">
        <v>1</v>
      </c>
      <c r="G22" s="165">
        <v>143.02000000000001</v>
      </c>
      <c r="H22" s="98">
        <v>143.02000000000001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143.02000000000001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149.12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29.82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178.94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178.94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213</v>
      </c>
    </row>
    <row r="6" spans="1:17" x14ac:dyDescent="0.3">
      <c r="B6" s="82" t="s">
        <v>75</v>
      </c>
      <c r="C6" s="83" t="s">
        <v>44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214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0.28999999999999998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0.28999999999999998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1</v>
      </c>
      <c r="E16" s="97">
        <v>4.34</v>
      </c>
      <c r="F16" s="97">
        <f>IF(ISNUMBER(D16),D16*E16,)</f>
        <v>4.34</v>
      </c>
      <c r="G16" s="97">
        <v>1.3380000000000001</v>
      </c>
      <c r="H16" s="98">
        <v>5.81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5.81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215</v>
      </c>
      <c r="C22" s="245"/>
      <c r="D22" s="251"/>
      <c r="E22" s="164" t="s">
        <v>216</v>
      </c>
      <c r="F22" s="165">
        <v>1</v>
      </c>
      <c r="G22" s="165">
        <v>145.11000000000001</v>
      </c>
      <c r="H22" s="98">
        <v>145.11000000000001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145.11000000000001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151.21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30.24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181.45000000000002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181.45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217</v>
      </c>
    </row>
    <row r="6" spans="1:17" x14ac:dyDescent="0.3">
      <c r="B6" s="82" t="s">
        <v>75</v>
      </c>
      <c r="C6" s="83" t="s">
        <v>45</v>
      </c>
      <c r="D6" s="79"/>
      <c r="E6" s="80"/>
      <c r="F6" s="80"/>
      <c r="G6" s="84" t="s">
        <v>14</v>
      </c>
      <c r="H6" s="85" t="s">
        <v>46</v>
      </c>
    </row>
    <row r="7" spans="1:17" x14ac:dyDescent="0.3">
      <c r="B7" s="86" t="s">
        <v>76</v>
      </c>
      <c r="C7" s="79" t="s">
        <v>218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2</v>
      </c>
      <c r="E16" s="97">
        <v>4.34</v>
      </c>
      <c r="F16" s="97">
        <f>IF(ISNUMBER(D16),D16*E16,)</f>
        <v>8.68</v>
      </c>
      <c r="G16" s="97">
        <v>1.0000000000000001E-5</v>
      </c>
      <c r="H16" s="98">
        <v>0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0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219</v>
      </c>
      <c r="C22" s="245"/>
      <c r="D22" s="251"/>
      <c r="E22" s="164" t="s">
        <v>46</v>
      </c>
      <c r="F22" s="165">
        <v>1</v>
      </c>
      <c r="G22" s="165">
        <v>0.22</v>
      </c>
      <c r="H22" s="98">
        <v>0.22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0.22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0.22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0.04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0.26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0.26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0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220</v>
      </c>
    </row>
    <row r="6" spans="1:17" x14ac:dyDescent="0.3">
      <c r="B6" s="82" t="s">
        <v>75</v>
      </c>
      <c r="C6" s="83" t="s">
        <v>47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221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0.19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0.19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2</v>
      </c>
      <c r="E16" s="97">
        <v>4.34</v>
      </c>
      <c r="F16" s="97">
        <f>IF(ISNUMBER(D16),D16*E16,)</f>
        <v>8.68</v>
      </c>
      <c r="G16" s="97">
        <v>0.44263000000000002</v>
      </c>
      <c r="H16" s="98">
        <v>3.84</v>
      </c>
    </row>
    <row r="17" spans="2:8" ht="18" customHeight="1" x14ac:dyDescent="0.3">
      <c r="B17" s="235"/>
      <c r="C17" s="236"/>
      <c r="D17" s="99"/>
      <c r="E17" s="114"/>
      <c r="F17" s="99"/>
      <c r="G17" s="99"/>
      <c r="H17" s="101"/>
    </row>
    <row r="18" spans="2:8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3.84</v>
      </c>
    </row>
    <row r="19" spans="2:8" ht="18" customHeight="1" x14ac:dyDescent="0.3">
      <c r="B19" s="115"/>
      <c r="C19" s="116"/>
      <c r="D19" s="116"/>
      <c r="E19" s="116"/>
      <c r="F19" s="116"/>
      <c r="G19" s="116"/>
      <c r="H19" s="117"/>
    </row>
    <row r="20" spans="2:8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2:8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2:8" ht="18" customHeight="1" x14ac:dyDescent="0.3">
      <c r="B22" s="250" t="s">
        <v>222</v>
      </c>
      <c r="C22" s="245"/>
      <c r="D22" s="251"/>
      <c r="E22" s="164" t="s">
        <v>216</v>
      </c>
      <c r="F22" s="165">
        <v>0.14000000000000001</v>
      </c>
      <c r="G22" s="165">
        <v>12</v>
      </c>
      <c r="H22" s="98">
        <v>1.68</v>
      </c>
    </row>
    <row r="23" spans="2:8" ht="18" customHeight="1" x14ac:dyDescent="0.3">
      <c r="B23" s="219" t="s">
        <v>223</v>
      </c>
      <c r="C23" s="220"/>
      <c r="D23" s="221"/>
      <c r="E23" s="166" t="s">
        <v>114</v>
      </c>
      <c r="F23" s="167">
        <v>1</v>
      </c>
      <c r="G23" s="167">
        <v>1.06</v>
      </c>
      <c r="H23" s="113">
        <v>1.06</v>
      </c>
    </row>
    <row r="24" spans="2:8" ht="18" customHeight="1" x14ac:dyDescent="0.3">
      <c r="B24" s="219" t="s">
        <v>224</v>
      </c>
      <c r="C24" s="220"/>
      <c r="D24" s="221"/>
      <c r="E24" s="166" t="s">
        <v>46</v>
      </c>
      <c r="F24" s="167">
        <v>0.8</v>
      </c>
      <c r="G24" s="167">
        <v>1.25</v>
      </c>
      <c r="H24" s="113">
        <v>1</v>
      </c>
    </row>
    <row r="25" spans="2:8" ht="18" customHeight="1" x14ac:dyDescent="0.3">
      <c r="B25" s="216"/>
      <c r="C25" s="217"/>
      <c r="D25" s="218"/>
      <c r="E25" s="122"/>
      <c r="F25" s="114"/>
      <c r="G25" s="114"/>
      <c r="H25" s="101"/>
    </row>
    <row r="26" spans="2:8" ht="18" customHeight="1" x14ac:dyDescent="0.3">
      <c r="B26" s="210" t="s">
        <v>95</v>
      </c>
      <c r="C26" s="211"/>
      <c r="D26" s="212"/>
      <c r="E26" s="212"/>
      <c r="F26" s="212"/>
      <c r="G26" s="213"/>
      <c r="H26" s="102">
        <v>3.74</v>
      </c>
    </row>
    <row r="27" spans="2:8" ht="18" customHeight="1" x14ac:dyDescent="0.3">
      <c r="B27" s="103"/>
      <c r="C27" s="104"/>
      <c r="D27" s="77"/>
      <c r="E27" s="105"/>
      <c r="F27" s="106"/>
      <c r="G27" s="105"/>
      <c r="H27" s="107"/>
    </row>
    <row r="28" spans="2:8" ht="18" customHeight="1" x14ac:dyDescent="0.3">
      <c r="B28" s="225" t="s">
        <v>96</v>
      </c>
      <c r="C28" s="226"/>
      <c r="D28" s="227"/>
      <c r="E28" s="227"/>
      <c r="F28" s="227"/>
      <c r="G28" s="227"/>
      <c r="H28" s="228"/>
    </row>
    <row r="29" spans="2:8" ht="22.5" customHeight="1" x14ac:dyDescent="0.3">
      <c r="B29" s="214" t="s">
        <v>13</v>
      </c>
      <c r="C29" s="215"/>
      <c r="D29" s="123" t="s">
        <v>14</v>
      </c>
      <c r="E29" s="124" t="s">
        <v>79</v>
      </c>
      <c r="F29" s="124" t="s">
        <v>97</v>
      </c>
      <c r="G29" s="124" t="s">
        <v>98</v>
      </c>
      <c r="H29" s="125" t="s">
        <v>99</v>
      </c>
    </row>
    <row r="30" spans="2:8" ht="18" customHeight="1" x14ac:dyDescent="0.3">
      <c r="B30" s="229"/>
      <c r="C30" s="230"/>
      <c r="D30" s="126"/>
      <c r="E30" s="127"/>
      <c r="F30" s="128"/>
      <c r="G30" s="128"/>
      <c r="H30" s="121"/>
    </row>
    <row r="31" spans="2:8" ht="18" customHeight="1" x14ac:dyDescent="0.3">
      <c r="B31" s="231"/>
      <c r="C31" s="232"/>
      <c r="D31" s="129"/>
      <c r="E31" s="130"/>
      <c r="F31" s="131"/>
      <c r="G31" s="131"/>
      <c r="H31" s="101"/>
    </row>
    <row r="32" spans="2:8" ht="18" customHeight="1" x14ac:dyDescent="0.3">
      <c r="B32" s="210" t="s">
        <v>100</v>
      </c>
      <c r="C32" s="211"/>
      <c r="D32" s="212"/>
      <c r="E32" s="212"/>
      <c r="F32" s="212"/>
      <c r="G32" s="213"/>
      <c r="H32" s="102">
        <v>0</v>
      </c>
    </row>
    <row r="33" spans="1:17" ht="16.5" thickBot="1" x14ac:dyDescent="0.35">
      <c r="B33" s="132" t="s">
        <v>101</v>
      </c>
      <c r="C33" s="104"/>
      <c r="D33" s="104"/>
      <c r="E33" s="104"/>
      <c r="F33" s="104"/>
      <c r="G33" s="104"/>
      <c r="H33" s="133"/>
    </row>
    <row r="34" spans="1:17" x14ac:dyDescent="0.3">
      <c r="A34" s="88"/>
      <c r="B34" s="115"/>
      <c r="C34" s="116"/>
      <c r="D34" s="134"/>
      <c r="E34" s="135" t="s">
        <v>102</v>
      </c>
      <c r="F34" s="136"/>
      <c r="G34" s="136"/>
      <c r="H34" s="137">
        <f>ROUND(H12+H18+H26+H32,4)</f>
        <v>7.77</v>
      </c>
      <c r="I34" s="89"/>
      <c r="L34" s="138"/>
      <c r="M34" s="138"/>
      <c r="N34" s="138"/>
      <c r="O34" s="138"/>
      <c r="P34" s="138"/>
      <c r="Q34" s="138"/>
    </row>
    <row r="35" spans="1:17" x14ac:dyDescent="0.3">
      <c r="A35" s="88"/>
      <c r="B35" s="139"/>
      <c r="C35" s="140"/>
      <c r="D35" s="140"/>
      <c r="E35" s="141" t="s">
        <v>103</v>
      </c>
      <c r="F35" s="142"/>
      <c r="G35" s="142" t="s">
        <v>104</v>
      </c>
      <c r="H35" s="143">
        <f>ROUND(G35*H34,2)</f>
        <v>1.55</v>
      </c>
      <c r="I35" s="89"/>
      <c r="L35" s="144"/>
      <c r="M35" s="144"/>
      <c r="N35" s="144"/>
      <c r="O35" s="144"/>
      <c r="P35" s="144"/>
      <c r="Q35" s="144"/>
    </row>
    <row r="36" spans="1:17" x14ac:dyDescent="0.3">
      <c r="A36" s="88"/>
      <c r="B36" s="145"/>
      <c r="C36" s="146"/>
      <c r="D36" s="77"/>
      <c r="E36" s="147" t="s">
        <v>105</v>
      </c>
      <c r="F36" s="148"/>
      <c r="G36" s="148"/>
      <c r="H36" s="149"/>
      <c r="I36" s="89"/>
    </row>
    <row r="37" spans="1:17" ht="16.5" thickBot="1" x14ac:dyDescent="0.35">
      <c r="A37" s="88"/>
      <c r="B37" s="208" t="s">
        <v>60</v>
      </c>
      <c r="C37" s="209"/>
      <c r="D37" s="209"/>
      <c r="E37" s="150" t="s">
        <v>106</v>
      </c>
      <c r="F37" s="151"/>
      <c r="G37" s="152"/>
      <c r="H37" s="153">
        <f>H34+H35</f>
        <v>9.32</v>
      </c>
      <c r="I37" s="89"/>
    </row>
    <row r="38" spans="1:17" ht="16.5" thickBot="1" x14ac:dyDescent="0.35">
      <c r="A38" s="88"/>
      <c r="B38" s="206" t="s">
        <v>62</v>
      </c>
      <c r="C38" s="207"/>
      <c r="D38" s="207"/>
      <c r="E38" s="154" t="s">
        <v>107</v>
      </c>
      <c r="F38" s="155"/>
      <c r="G38" s="155"/>
      <c r="H38" s="156">
        <f>ROUND(H37,2)</f>
        <v>9.32</v>
      </c>
      <c r="I38" s="89"/>
    </row>
    <row r="39" spans="1:17" x14ac:dyDescent="0.3">
      <c r="B39" s="157"/>
      <c r="C39" s="157"/>
      <c r="D39" s="158"/>
      <c r="E39" s="159"/>
      <c r="F39" s="160"/>
      <c r="G39" s="159"/>
      <c r="H39" s="159"/>
    </row>
    <row r="40" spans="1:17" x14ac:dyDescent="0.3">
      <c r="B40" s="161"/>
      <c r="C40" s="161"/>
      <c r="D40" s="162"/>
      <c r="E40" s="163"/>
      <c r="F40" s="163"/>
      <c r="G40" s="163"/>
      <c r="H40" s="163"/>
    </row>
  </sheetData>
  <sheetProtection formatCells="0" formatColumns="0" formatRows="0" insertColumns="0" insertRows="0" insertHyperlinks="0" deleteColumns="0" deleteRows="0" sort="0" autoFilter="0" pivotTables="0"/>
  <mergeCells count="27">
    <mergeCell ref="B24:D24"/>
    <mergeCell ref="B18:G18"/>
    <mergeCell ref="B22:D22"/>
    <mergeCell ref="B21:D21"/>
    <mergeCell ref="B20:H20"/>
    <mergeCell ref="B23:D23"/>
    <mergeCell ref="B16:C16"/>
    <mergeCell ref="B17:C17"/>
    <mergeCell ref="B15:C15"/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38:D38"/>
    <mergeCell ref="B37:D37"/>
    <mergeCell ref="B32:G32"/>
    <mergeCell ref="B29:C29"/>
    <mergeCell ref="B25:D25"/>
    <mergeCell ref="B26:G26"/>
    <mergeCell ref="B28:H28"/>
    <mergeCell ref="B30:C30"/>
    <mergeCell ref="B31:C31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225</v>
      </c>
    </row>
    <row r="6" spans="1:17" x14ac:dyDescent="0.3">
      <c r="B6" s="82" t="s">
        <v>75</v>
      </c>
      <c r="C6" s="83" t="s">
        <v>48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226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0.01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0.01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1</v>
      </c>
      <c r="E16" s="97">
        <v>4.34</v>
      </c>
      <c r="F16" s="97">
        <f>IF(ISNUMBER(D16),D16*E16,)</f>
        <v>4.34</v>
      </c>
      <c r="G16" s="97">
        <v>0.05</v>
      </c>
      <c r="H16" s="98">
        <v>0.22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0.22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227</v>
      </c>
      <c r="C22" s="245"/>
      <c r="D22" s="251"/>
      <c r="E22" s="164" t="s">
        <v>43</v>
      </c>
      <c r="F22" s="165">
        <v>1</v>
      </c>
      <c r="G22" s="165">
        <v>18</v>
      </c>
      <c r="H22" s="98">
        <v>18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18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18.23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3.65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21.88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21.88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228</v>
      </c>
    </row>
    <row r="6" spans="1:17" x14ac:dyDescent="0.3">
      <c r="B6" s="82" t="s">
        <v>75</v>
      </c>
      <c r="C6" s="83" t="s">
        <v>49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229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0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0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1</v>
      </c>
      <c r="E16" s="97">
        <v>4.34</v>
      </c>
      <c r="F16" s="97">
        <f>IF(ISNUMBER(D16),D16*E16,)</f>
        <v>4.34</v>
      </c>
      <c r="G16" s="97">
        <v>4.2300000000000003E-3</v>
      </c>
      <c r="H16" s="98">
        <v>0.02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0.02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230</v>
      </c>
      <c r="C22" s="245"/>
      <c r="D22" s="251"/>
      <c r="E22" s="164" t="s">
        <v>43</v>
      </c>
      <c r="F22" s="165">
        <v>1</v>
      </c>
      <c r="G22" s="165">
        <v>12</v>
      </c>
      <c r="H22" s="98">
        <v>12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12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12.02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2.4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14.42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14.42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8"/>
  <sheetViews>
    <sheetView showGridLines="0" tabSelected="1" view="pageBreakPreview" topLeftCell="B1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231</v>
      </c>
    </row>
    <row r="6" spans="1:17" x14ac:dyDescent="0.3">
      <c r="B6" s="82" t="s">
        <v>75</v>
      </c>
      <c r="C6" s="83" t="s">
        <v>50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232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1.97</v>
      </c>
    </row>
    <row r="11" spans="1:17" ht="18" customHeight="1" x14ac:dyDescent="0.3">
      <c r="B11" s="235"/>
      <c r="C11" s="236"/>
      <c r="D11" s="99"/>
      <c r="E11" s="99"/>
      <c r="F11" s="99"/>
      <c r="G11" s="100"/>
      <c r="H11" s="101"/>
    </row>
    <row r="12" spans="1:17" ht="18" customHeight="1" x14ac:dyDescent="0.3">
      <c r="B12" s="210" t="s">
        <v>86</v>
      </c>
      <c r="C12" s="211"/>
      <c r="D12" s="212"/>
      <c r="E12" s="212"/>
      <c r="F12" s="212"/>
      <c r="G12" s="213"/>
      <c r="H12" s="102">
        <v>1.97</v>
      </c>
    </row>
    <row r="13" spans="1:17" ht="18" customHeight="1" x14ac:dyDescent="0.3">
      <c r="B13" s="103"/>
      <c r="C13" s="104"/>
      <c r="D13" s="77"/>
      <c r="E13" s="105"/>
      <c r="F13" s="106"/>
      <c r="G13" s="105"/>
      <c r="H13" s="107"/>
    </row>
    <row r="14" spans="1:17" ht="18" customHeight="1" x14ac:dyDescent="0.3">
      <c r="B14" s="225" t="s">
        <v>87</v>
      </c>
      <c r="C14" s="226"/>
      <c r="D14" s="227"/>
      <c r="E14" s="227"/>
      <c r="F14" s="227"/>
      <c r="G14" s="227"/>
      <c r="H14" s="228"/>
    </row>
    <row r="15" spans="1:17" ht="20.25" customHeight="1" x14ac:dyDescent="0.3">
      <c r="B15" s="214" t="s">
        <v>13</v>
      </c>
      <c r="C15" s="215"/>
      <c r="D15" s="108" t="s">
        <v>79</v>
      </c>
      <c r="E15" s="91" t="s">
        <v>88</v>
      </c>
      <c r="F15" s="109" t="s">
        <v>81</v>
      </c>
      <c r="G15" s="108" t="s">
        <v>82</v>
      </c>
      <c r="H15" s="110" t="s">
        <v>83</v>
      </c>
    </row>
    <row r="16" spans="1:17" ht="18" customHeight="1" x14ac:dyDescent="0.3">
      <c r="B16" s="233" t="s">
        <v>89</v>
      </c>
      <c r="C16" s="234"/>
      <c r="D16" s="97">
        <v>1</v>
      </c>
      <c r="E16" s="97">
        <v>4.34</v>
      </c>
      <c r="F16" s="97">
        <f>IF(ISNUMBER(D16),D16*E16,)</f>
        <v>4.34</v>
      </c>
      <c r="G16" s="97">
        <v>9.0771999999999995</v>
      </c>
      <c r="H16" s="98">
        <v>39.4</v>
      </c>
    </row>
    <row r="17" spans="1:17" ht="18" customHeight="1" x14ac:dyDescent="0.3">
      <c r="B17" s="235"/>
      <c r="C17" s="236"/>
      <c r="D17" s="99"/>
      <c r="E17" s="114"/>
      <c r="F17" s="99"/>
      <c r="G17" s="99"/>
      <c r="H17" s="101"/>
    </row>
    <row r="18" spans="1:17" ht="18" customHeight="1" x14ac:dyDescent="0.3">
      <c r="B18" s="210" t="s">
        <v>91</v>
      </c>
      <c r="C18" s="211"/>
      <c r="D18" s="212"/>
      <c r="E18" s="212"/>
      <c r="F18" s="212"/>
      <c r="G18" s="213"/>
      <c r="H18" s="102">
        <v>39.4</v>
      </c>
    </row>
    <row r="19" spans="1:17" ht="18" customHeight="1" x14ac:dyDescent="0.3">
      <c r="B19" s="115"/>
      <c r="C19" s="116"/>
      <c r="D19" s="116"/>
      <c r="E19" s="116"/>
      <c r="F19" s="116"/>
      <c r="G19" s="116"/>
      <c r="H19" s="117"/>
    </row>
    <row r="20" spans="1:17" ht="18" customHeight="1" x14ac:dyDescent="0.3">
      <c r="B20" s="225" t="s">
        <v>92</v>
      </c>
      <c r="C20" s="226"/>
      <c r="D20" s="227"/>
      <c r="E20" s="227"/>
      <c r="F20" s="227"/>
      <c r="G20" s="227"/>
      <c r="H20" s="228"/>
    </row>
    <row r="21" spans="1:17" ht="20.25" customHeight="1" x14ac:dyDescent="0.3">
      <c r="B21" s="222" t="s">
        <v>13</v>
      </c>
      <c r="C21" s="223"/>
      <c r="D21" s="224"/>
      <c r="E21" s="118" t="s">
        <v>14</v>
      </c>
      <c r="F21" s="90" t="s">
        <v>79</v>
      </c>
      <c r="G21" s="91" t="s">
        <v>93</v>
      </c>
      <c r="H21" s="92" t="s">
        <v>94</v>
      </c>
    </row>
    <row r="22" spans="1:17" ht="18" customHeight="1" x14ac:dyDescent="0.3">
      <c r="B22" s="250" t="s">
        <v>233</v>
      </c>
      <c r="C22" s="245"/>
      <c r="D22" s="251"/>
      <c r="E22" s="164" t="s">
        <v>216</v>
      </c>
      <c r="F22" s="165">
        <v>1</v>
      </c>
      <c r="G22" s="165">
        <v>250</v>
      </c>
      <c r="H22" s="98">
        <v>250</v>
      </c>
    </row>
    <row r="23" spans="1:17" ht="18" customHeight="1" x14ac:dyDescent="0.3">
      <c r="B23" s="216"/>
      <c r="C23" s="217"/>
      <c r="D23" s="218"/>
      <c r="E23" s="122"/>
      <c r="F23" s="114"/>
      <c r="G23" s="114"/>
      <c r="H23" s="101"/>
    </row>
    <row r="24" spans="1:17" ht="18" customHeight="1" x14ac:dyDescent="0.3">
      <c r="B24" s="210" t="s">
        <v>95</v>
      </c>
      <c r="C24" s="211"/>
      <c r="D24" s="212"/>
      <c r="E24" s="212"/>
      <c r="F24" s="212"/>
      <c r="G24" s="213"/>
      <c r="H24" s="102">
        <v>250</v>
      </c>
    </row>
    <row r="25" spans="1:17" ht="18" customHeight="1" x14ac:dyDescent="0.3">
      <c r="B25" s="103"/>
      <c r="C25" s="104"/>
      <c r="D25" s="77"/>
      <c r="E25" s="105"/>
      <c r="F25" s="106"/>
      <c r="G25" s="105"/>
      <c r="H25" s="107"/>
    </row>
    <row r="26" spans="1:17" ht="18" customHeight="1" x14ac:dyDescent="0.3">
      <c r="B26" s="225" t="s">
        <v>96</v>
      </c>
      <c r="C26" s="226"/>
      <c r="D26" s="227"/>
      <c r="E26" s="227"/>
      <c r="F26" s="227"/>
      <c r="G26" s="227"/>
      <c r="H26" s="228"/>
    </row>
    <row r="27" spans="1:17" ht="22.5" customHeight="1" x14ac:dyDescent="0.3">
      <c r="B27" s="214" t="s">
        <v>13</v>
      </c>
      <c r="C27" s="215"/>
      <c r="D27" s="123" t="s">
        <v>14</v>
      </c>
      <c r="E27" s="124" t="s">
        <v>79</v>
      </c>
      <c r="F27" s="124" t="s">
        <v>97</v>
      </c>
      <c r="G27" s="124" t="s">
        <v>98</v>
      </c>
      <c r="H27" s="125" t="s">
        <v>99</v>
      </c>
    </row>
    <row r="28" spans="1:17" ht="18" customHeight="1" x14ac:dyDescent="0.3">
      <c r="B28" s="229"/>
      <c r="C28" s="230"/>
      <c r="D28" s="126"/>
      <c r="E28" s="127"/>
      <c r="F28" s="128"/>
      <c r="G28" s="128"/>
      <c r="H28" s="121"/>
    </row>
    <row r="29" spans="1:17" ht="18" customHeight="1" x14ac:dyDescent="0.3">
      <c r="B29" s="231"/>
      <c r="C29" s="232"/>
      <c r="D29" s="129"/>
      <c r="E29" s="130"/>
      <c r="F29" s="131"/>
      <c r="G29" s="131"/>
      <c r="H29" s="101"/>
    </row>
    <row r="30" spans="1:17" ht="18" customHeight="1" x14ac:dyDescent="0.3">
      <c r="B30" s="210" t="s">
        <v>100</v>
      </c>
      <c r="C30" s="211"/>
      <c r="D30" s="212"/>
      <c r="E30" s="212"/>
      <c r="F30" s="212"/>
      <c r="G30" s="213"/>
      <c r="H30" s="102">
        <v>0</v>
      </c>
    </row>
    <row r="31" spans="1:17" ht="16.5" thickBot="1" x14ac:dyDescent="0.35">
      <c r="B31" s="132" t="s">
        <v>101</v>
      </c>
      <c r="C31" s="104"/>
      <c r="D31" s="104"/>
      <c r="E31" s="104"/>
      <c r="F31" s="104"/>
      <c r="G31" s="104"/>
      <c r="H31" s="133"/>
    </row>
    <row r="32" spans="1:17" x14ac:dyDescent="0.3">
      <c r="A32" s="88"/>
      <c r="B32" s="115"/>
      <c r="C32" s="116"/>
      <c r="D32" s="134"/>
      <c r="E32" s="135" t="s">
        <v>102</v>
      </c>
      <c r="F32" s="136"/>
      <c r="G32" s="136"/>
      <c r="H32" s="137">
        <f>ROUND(H12+H18+H24+H30,4)</f>
        <v>291.37</v>
      </c>
      <c r="I32" s="89"/>
      <c r="L32" s="138"/>
      <c r="M32" s="138"/>
      <c r="N32" s="138"/>
      <c r="O32" s="138"/>
      <c r="P32" s="138"/>
      <c r="Q32" s="138"/>
    </row>
    <row r="33" spans="1:17" x14ac:dyDescent="0.3">
      <c r="A33" s="88"/>
      <c r="B33" s="139"/>
      <c r="C33" s="140"/>
      <c r="D33" s="140"/>
      <c r="E33" s="141" t="s">
        <v>103</v>
      </c>
      <c r="F33" s="142"/>
      <c r="G33" s="142" t="s">
        <v>104</v>
      </c>
      <c r="H33" s="143">
        <f>ROUND(G33*H32,2)</f>
        <v>58.27</v>
      </c>
      <c r="I33" s="89"/>
      <c r="L33" s="144"/>
      <c r="M33" s="144"/>
      <c r="N33" s="144"/>
      <c r="O33" s="144"/>
      <c r="P33" s="144"/>
      <c r="Q33" s="144"/>
    </row>
    <row r="34" spans="1:17" x14ac:dyDescent="0.3">
      <c r="A34" s="88"/>
      <c r="B34" s="145"/>
      <c r="C34" s="146"/>
      <c r="D34" s="77"/>
      <c r="E34" s="147" t="s">
        <v>105</v>
      </c>
      <c r="F34" s="148"/>
      <c r="G34" s="148"/>
      <c r="H34" s="149"/>
      <c r="I34" s="89"/>
    </row>
    <row r="35" spans="1:17" ht="16.5" thickBot="1" x14ac:dyDescent="0.35">
      <c r="A35" s="88"/>
      <c r="B35" s="208" t="s">
        <v>60</v>
      </c>
      <c r="C35" s="209"/>
      <c r="D35" s="209"/>
      <c r="E35" s="150" t="s">
        <v>106</v>
      </c>
      <c r="F35" s="151"/>
      <c r="G35" s="152"/>
      <c r="H35" s="153">
        <f>H32+H33</f>
        <v>349.64</v>
      </c>
      <c r="I35" s="89"/>
    </row>
    <row r="36" spans="1:17" ht="16.5" thickBot="1" x14ac:dyDescent="0.35">
      <c r="A36" s="88"/>
      <c r="B36" s="206" t="s">
        <v>62</v>
      </c>
      <c r="C36" s="207"/>
      <c r="D36" s="207"/>
      <c r="E36" s="154" t="s">
        <v>107</v>
      </c>
      <c r="F36" s="155"/>
      <c r="G36" s="155"/>
      <c r="H36" s="156">
        <f>ROUND(H35,2)</f>
        <v>349.64</v>
      </c>
      <c r="I36" s="89"/>
    </row>
    <row r="37" spans="1:17" x14ac:dyDescent="0.3">
      <c r="B37" s="157"/>
      <c r="C37" s="157"/>
      <c r="D37" s="158"/>
      <c r="E37" s="159"/>
      <c r="F37" s="160"/>
      <c r="G37" s="159"/>
      <c r="H37" s="159"/>
    </row>
    <row r="38" spans="1:17" x14ac:dyDescent="0.3">
      <c r="B38" s="161"/>
      <c r="C38" s="161"/>
      <c r="D38" s="162"/>
      <c r="E38" s="163"/>
      <c r="F38" s="163"/>
      <c r="G38" s="163"/>
      <c r="H38" s="163"/>
    </row>
  </sheetData>
  <sheetProtection formatCells="0" formatColumns="0" formatRows="0" insertColumns="0" insertRows="0" insertHyperlinks="0" deleteColumns="0" deleteRows="0" sort="0" autoFilter="0" pivotTables="0"/>
  <mergeCells count="25">
    <mergeCell ref="B14:H14"/>
    <mergeCell ref="B2:H2"/>
    <mergeCell ref="B3:H3"/>
    <mergeCell ref="B8:H8"/>
    <mergeCell ref="B9:C9"/>
    <mergeCell ref="B10:C10"/>
    <mergeCell ref="B12:G12"/>
    <mergeCell ref="B4:H4"/>
    <mergeCell ref="B11:C11"/>
    <mergeCell ref="B20:H20"/>
    <mergeCell ref="B18:G18"/>
    <mergeCell ref="B16:C16"/>
    <mergeCell ref="B17:C17"/>
    <mergeCell ref="B15:C15"/>
    <mergeCell ref="B22:D22"/>
    <mergeCell ref="B24:G24"/>
    <mergeCell ref="B21:D21"/>
    <mergeCell ref="B26:H26"/>
    <mergeCell ref="B28:C28"/>
    <mergeCell ref="B36:D36"/>
    <mergeCell ref="B35:D35"/>
    <mergeCell ref="B30:G30"/>
    <mergeCell ref="B27:C27"/>
    <mergeCell ref="B23:D23"/>
    <mergeCell ref="B29:C29"/>
  </mergeCells>
  <printOptions horizontalCentered="1" verticalCentered="1"/>
  <pageMargins left="0.5" right="0.25" top="0.30069439999999997" bottom="0.30069439999999997" header="0" footer="0"/>
  <pageSetup scale="92" orientation="portrait" errors="blank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2"/>
  <sheetViews>
    <sheetView showGridLines="0" tabSelected="1" view="pageBreakPreview" topLeftCell="B7" zoomScale="60" zoomScaleNormal="100" workbookViewId="0">
      <selection activeCell="M30" sqref="M30"/>
    </sheetView>
  </sheetViews>
  <sheetFormatPr baseColWidth="10" defaultColWidth="11.42578125" defaultRowHeight="15.75" x14ac:dyDescent="0.3"/>
  <cols>
    <col min="1" max="1" width="5" style="72" customWidth="1"/>
    <col min="2" max="2" width="13" style="73" bestFit="1" customWidth="1"/>
    <col min="3" max="3" width="19.140625" style="73" bestFit="1" customWidth="1"/>
    <col min="4" max="7" width="11.7109375" style="73" customWidth="1"/>
    <col min="8" max="8" width="12.7109375" style="73" customWidth="1"/>
    <col min="9" max="256" width="11.42578125" style="73"/>
  </cols>
  <sheetData>
    <row r="1" spans="1:17" ht="18" customHeight="1" x14ac:dyDescent="0.3">
      <c r="B1" s="74"/>
      <c r="C1" s="75"/>
      <c r="D1" s="75"/>
      <c r="E1" s="75"/>
      <c r="F1" s="75"/>
      <c r="G1" s="75"/>
      <c r="H1" s="76"/>
    </row>
    <row r="2" spans="1:17" ht="19.5" customHeight="1" x14ac:dyDescent="0.3">
      <c r="B2" s="237" t="s">
        <v>71</v>
      </c>
      <c r="C2" s="238"/>
      <c r="D2" s="239"/>
      <c r="E2" s="239"/>
      <c r="F2" s="239"/>
      <c r="G2" s="239"/>
      <c r="H2" s="240"/>
    </row>
    <row r="3" spans="1:17" ht="23.25" customHeight="1" x14ac:dyDescent="0.3">
      <c r="B3" s="237" t="s">
        <v>72</v>
      </c>
      <c r="C3" s="239"/>
      <c r="D3" s="239"/>
      <c r="E3" s="239"/>
      <c r="F3" s="239"/>
      <c r="G3" s="239"/>
      <c r="H3" s="240"/>
    </row>
    <row r="4" spans="1:17" x14ac:dyDescent="0.3">
      <c r="B4" s="214" t="s">
        <v>73</v>
      </c>
      <c r="C4" s="246"/>
      <c r="D4" s="246"/>
      <c r="E4" s="246"/>
      <c r="F4" s="246"/>
      <c r="G4" s="246"/>
      <c r="H4" s="247"/>
    </row>
    <row r="5" spans="1:17" ht="13.5" customHeight="1" x14ac:dyDescent="0.3">
      <c r="B5" s="78"/>
      <c r="C5" s="79"/>
      <c r="D5" s="79"/>
      <c r="E5" s="80"/>
      <c r="F5" s="80"/>
      <c r="G5" s="80"/>
      <c r="H5" s="81" t="s">
        <v>234</v>
      </c>
    </row>
    <row r="6" spans="1:17" x14ac:dyDescent="0.3">
      <c r="B6" s="82" t="s">
        <v>75</v>
      </c>
      <c r="C6" s="83" t="s">
        <v>51</v>
      </c>
      <c r="D6" s="79"/>
      <c r="E6" s="80"/>
      <c r="F6" s="80"/>
      <c r="G6" s="84" t="s">
        <v>14</v>
      </c>
      <c r="H6" s="85" t="s">
        <v>43</v>
      </c>
    </row>
    <row r="7" spans="1:17" x14ac:dyDescent="0.3">
      <c r="B7" s="86" t="s">
        <v>76</v>
      </c>
      <c r="C7" s="79" t="s">
        <v>235</v>
      </c>
      <c r="D7" s="79"/>
      <c r="E7" s="80"/>
      <c r="F7" s="80"/>
      <c r="G7" s="80"/>
      <c r="H7" s="87"/>
    </row>
    <row r="8" spans="1:17" ht="11.25" customHeight="1" x14ac:dyDescent="0.3">
      <c r="A8" s="88"/>
      <c r="B8" s="241" t="s">
        <v>78</v>
      </c>
      <c r="C8" s="242"/>
      <c r="D8" s="243"/>
      <c r="E8" s="243"/>
      <c r="F8" s="243"/>
      <c r="G8" s="243"/>
      <c r="H8" s="244"/>
      <c r="I8" s="89"/>
    </row>
    <row r="9" spans="1:17" ht="23.25" customHeight="1" x14ac:dyDescent="0.3">
      <c r="B9" s="222" t="s">
        <v>13</v>
      </c>
      <c r="C9" s="224"/>
      <c r="D9" s="90" t="s">
        <v>79</v>
      </c>
      <c r="E9" s="91" t="s">
        <v>80</v>
      </c>
      <c r="F9" s="91" t="s">
        <v>81</v>
      </c>
      <c r="G9" s="90" t="s">
        <v>82</v>
      </c>
      <c r="H9" s="92" t="s">
        <v>83</v>
      </c>
      <c r="J9" s="93"/>
      <c r="K9" s="94"/>
      <c r="L9" s="93"/>
      <c r="M9" s="95"/>
      <c r="N9" s="96"/>
      <c r="O9" s="95"/>
      <c r="P9" s="95"/>
      <c r="Q9" s="96"/>
    </row>
    <row r="10" spans="1:17" ht="18" customHeight="1" x14ac:dyDescent="0.3">
      <c r="B10" s="233" t="s">
        <v>84</v>
      </c>
      <c r="C10" s="245"/>
      <c r="D10" s="97" t="s">
        <v>85</v>
      </c>
      <c r="E10" s="97" t="s">
        <v>18</v>
      </c>
      <c r="F10" s="97">
        <f>IF(ISNUMBER(D10),D10*E10,)</f>
        <v>0</v>
      </c>
      <c r="G10" s="97" t="s">
        <v>18</v>
      </c>
      <c r="H10" s="98">
        <v>1.1599999999999999</v>
      </c>
    </row>
    <row r="11" spans="1:17" ht="18" customHeight="1" x14ac:dyDescent="0.3">
      <c r="B11" s="248" t="s">
        <v>236</v>
      </c>
      <c r="C11" s="220"/>
      <c r="D11" s="111">
        <v>1</v>
      </c>
      <c r="E11" s="111">
        <v>2.5</v>
      </c>
      <c r="F11" s="111">
        <f>IF(ISNUMBER(D11),D11*E11,)</f>
        <v>2.5</v>
      </c>
      <c r="G11" s="111">
        <v>1.6990000000000001</v>
      </c>
      <c r="H11" s="113">
        <v>4.25</v>
      </c>
    </row>
    <row r="12" spans="1:17" ht="18" customHeight="1" x14ac:dyDescent="0.3">
      <c r="B12" s="248" t="s">
        <v>237</v>
      </c>
      <c r="C12" s="220"/>
      <c r="D12" s="111">
        <v>1</v>
      </c>
      <c r="E12" s="111">
        <v>15</v>
      </c>
      <c r="F12" s="111">
        <f>IF(ISNUMBER(D12),D12*E12,)</f>
        <v>15</v>
      </c>
      <c r="G12" s="111">
        <v>1.6990000000000001</v>
      </c>
      <c r="H12" s="113">
        <v>25.49</v>
      </c>
    </row>
    <row r="13" spans="1:17" ht="18" customHeight="1" x14ac:dyDescent="0.3">
      <c r="B13" s="235"/>
      <c r="C13" s="236"/>
      <c r="D13" s="99"/>
      <c r="E13" s="99"/>
      <c r="F13" s="99"/>
      <c r="G13" s="100"/>
      <c r="H13" s="101"/>
    </row>
    <row r="14" spans="1:17" ht="18" customHeight="1" x14ac:dyDescent="0.3">
      <c r="B14" s="210" t="s">
        <v>86</v>
      </c>
      <c r="C14" s="211"/>
      <c r="D14" s="212"/>
      <c r="E14" s="212"/>
      <c r="F14" s="212"/>
      <c r="G14" s="213"/>
      <c r="H14" s="102">
        <v>30.9</v>
      </c>
    </row>
    <row r="15" spans="1:17" ht="18" customHeight="1" x14ac:dyDescent="0.3">
      <c r="B15" s="103"/>
      <c r="C15" s="104"/>
      <c r="D15" s="77"/>
      <c r="E15" s="105"/>
      <c r="F15" s="106"/>
      <c r="G15" s="105"/>
      <c r="H15" s="107"/>
    </row>
    <row r="16" spans="1:17" ht="18" customHeight="1" x14ac:dyDescent="0.3">
      <c r="B16" s="225" t="s">
        <v>87</v>
      </c>
      <c r="C16" s="226"/>
      <c r="D16" s="227"/>
      <c r="E16" s="227"/>
      <c r="F16" s="227"/>
      <c r="G16" s="227"/>
      <c r="H16" s="228"/>
    </row>
    <row r="17" spans="2:8" ht="20.25" customHeight="1" x14ac:dyDescent="0.3">
      <c r="B17" s="214" t="s">
        <v>13</v>
      </c>
      <c r="C17" s="215"/>
      <c r="D17" s="108" t="s">
        <v>79</v>
      </c>
      <c r="E17" s="91" t="s">
        <v>88</v>
      </c>
      <c r="F17" s="109" t="s">
        <v>81</v>
      </c>
      <c r="G17" s="108" t="s">
        <v>82</v>
      </c>
      <c r="H17" s="110" t="s">
        <v>83</v>
      </c>
    </row>
    <row r="18" spans="2:8" ht="18" customHeight="1" x14ac:dyDescent="0.3">
      <c r="B18" s="233" t="s">
        <v>89</v>
      </c>
      <c r="C18" s="234"/>
      <c r="D18" s="97">
        <v>1</v>
      </c>
      <c r="E18" s="97">
        <v>4.34</v>
      </c>
      <c r="F18" s="97">
        <f>IF(ISNUMBER(D18),D18*E18,)</f>
        <v>4.34</v>
      </c>
      <c r="G18" s="97">
        <v>1.6990000000000001</v>
      </c>
      <c r="H18" s="98">
        <v>7.37</v>
      </c>
    </row>
    <row r="19" spans="2:8" ht="18" customHeight="1" x14ac:dyDescent="0.3">
      <c r="B19" s="248" t="s">
        <v>238</v>
      </c>
      <c r="C19" s="249"/>
      <c r="D19" s="111">
        <v>1</v>
      </c>
      <c r="E19" s="112">
        <v>4.3899999999999997</v>
      </c>
      <c r="F19" s="111">
        <f>IF(ISNUMBER(D19),D19*E19,)</f>
        <v>4.3899999999999997</v>
      </c>
      <c r="G19" s="111">
        <v>1.6990000000000001</v>
      </c>
      <c r="H19" s="113">
        <v>7.46</v>
      </c>
    </row>
    <row r="20" spans="2:8" ht="18" customHeight="1" x14ac:dyDescent="0.3">
      <c r="B20" s="248" t="s">
        <v>90</v>
      </c>
      <c r="C20" s="249"/>
      <c r="D20" s="111">
        <v>0.1</v>
      </c>
      <c r="E20" s="112">
        <v>4.87</v>
      </c>
      <c r="F20" s="111">
        <f>IF(ISNUMBER(D20),D20*E20,)</f>
        <v>0.48700000000000004</v>
      </c>
      <c r="G20" s="111">
        <v>1.6990000000000001</v>
      </c>
      <c r="H20" s="113">
        <v>0.83</v>
      </c>
    </row>
    <row r="21" spans="2:8" ht="18" customHeight="1" x14ac:dyDescent="0.3">
      <c r="B21" s="248" t="s">
        <v>199</v>
      </c>
      <c r="C21" s="249"/>
      <c r="D21" s="111">
        <v>1</v>
      </c>
      <c r="E21" s="112">
        <v>4.3899999999999997</v>
      </c>
      <c r="F21" s="111">
        <f>IF(ISNUMBER(D21),D21*E21,)</f>
        <v>4.3899999999999997</v>
      </c>
      <c r="G21" s="111">
        <v>1.6990000000000001</v>
      </c>
      <c r="H21" s="113">
        <v>7.46</v>
      </c>
    </row>
    <row r="22" spans="2:8" ht="18" customHeight="1" x14ac:dyDescent="0.3">
      <c r="B22" s="235"/>
      <c r="C22" s="236"/>
      <c r="D22" s="99"/>
      <c r="E22" s="114"/>
      <c r="F22" s="99"/>
      <c r="G22" s="99"/>
      <c r="H22" s="101"/>
    </row>
    <row r="23" spans="2:8" ht="18" customHeight="1" x14ac:dyDescent="0.3">
      <c r="B23" s="210" t="s">
        <v>91</v>
      </c>
      <c r="C23" s="211"/>
      <c r="D23" s="212"/>
      <c r="E23" s="212"/>
      <c r="F23" s="212"/>
      <c r="G23" s="213"/>
      <c r="H23" s="102">
        <v>23.12</v>
      </c>
    </row>
    <row r="24" spans="2:8" ht="18" customHeight="1" x14ac:dyDescent="0.3">
      <c r="B24" s="115"/>
      <c r="C24" s="116"/>
      <c r="D24" s="116"/>
      <c r="E24" s="116"/>
      <c r="F24" s="116"/>
      <c r="G24" s="116"/>
      <c r="H24" s="117"/>
    </row>
    <row r="25" spans="2:8" ht="18" customHeight="1" x14ac:dyDescent="0.3">
      <c r="B25" s="225" t="s">
        <v>92</v>
      </c>
      <c r="C25" s="226"/>
      <c r="D25" s="227"/>
      <c r="E25" s="227"/>
      <c r="F25" s="227"/>
      <c r="G25" s="227"/>
      <c r="H25" s="228"/>
    </row>
    <row r="26" spans="2:8" ht="20.25" customHeight="1" x14ac:dyDescent="0.3">
      <c r="B26" s="222" t="s">
        <v>13</v>
      </c>
      <c r="C26" s="223"/>
      <c r="D26" s="224"/>
      <c r="E26" s="118" t="s">
        <v>14</v>
      </c>
      <c r="F26" s="90" t="s">
        <v>79</v>
      </c>
      <c r="G26" s="91" t="s">
        <v>93</v>
      </c>
      <c r="H26" s="92" t="s">
        <v>94</v>
      </c>
    </row>
    <row r="27" spans="2:8" ht="18" customHeight="1" x14ac:dyDescent="0.3">
      <c r="B27" s="250" t="s">
        <v>239</v>
      </c>
      <c r="C27" s="245"/>
      <c r="D27" s="251"/>
      <c r="E27" s="164" t="s">
        <v>43</v>
      </c>
      <c r="F27" s="165">
        <v>148.28</v>
      </c>
      <c r="G27" s="165">
        <v>4.29</v>
      </c>
      <c r="H27" s="98">
        <v>636.12</v>
      </c>
    </row>
    <row r="28" spans="2:8" ht="18" customHeight="1" x14ac:dyDescent="0.3">
      <c r="B28" s="219" t="s">
        <v>240</v>
      </c>
      <c r="C28" s="220"/>
      <c r="D28" s="221"/>
      <c r="E28" s="166" t="s">
        <v>43</v>
      </c>
      <c r="F28" s="167">
        <v>0.13200000000000001</v>
      </c>
      <c r="G28" s="167">
        <v>83.42</v>
      </c>
      <c r="H28" s="113">
        <v>11.01</v>
      </c>
    </row>
    <row r="29" spans="2:8" ht="18" customHeight="1" x14ac:dyDescent="0.3">
      <c r="B29" s="219" t="s">
        <v>241</v>
      </c>
      <c r="C29" s="220"/>
      <c r="D29" s="221"/>
      <c r="E29" s="166" t="s">
        <v>43</v>
      </c>
      <c r="F29" s="167">
        <v>14</v>
      </c>
      <c r="G29" s="167">
        <v>3</v>
      </c>
      <c r="H29" s="113">
        <v>42</v>
      </c>
    </row>
    <row r="30" spans="2:8" ht="18" customHeight="1" x14ac:dyDescent="0.3">
      <c r="B30" s="219" t="s">
        <v>242</v>
      </c>
      <c r="C30" s="220"/>
      <c r="D30" s="221"/>
      <c r="E30" s="166" t="s">
        <v>43</v>
      </c>
      <c r="F30" s="167">
        <v>134</v>
      </c>
      <c r="G30" s="167">
        <v>0.04</v>
      </c>
      <c r="H30" s="113">
        <v>5.36</v>
      </c>
    </row>
    <row r="31" spans="2:8" ht="18" customHeight="1" x14ac:dyDescent="0.3">
      <c r="B31" s="219" t="s">
        <v>243</v>
      </c>
      <c r="C31" s="220"/>
      <c r="D31" s="221"/>
      <c r="E31" s="166" t="s">
        <v>244</v>
      </c>
      <c r="F31" s="167">
        <v>1.48</v>
      </c>
      <c r="G31" s="167">
        <v>18</v>
      </c>
      <c r="H31" s="113">
        <v>26.64</v>
      </c>
    </row>
    <row r="32" spans="2:8" ht="18" customHeight="1" x14ac:dyDescent="0.3">
      <c r="B32" s="219" t="s">
        <v>245</v>
      </c>
      <c r="C32" s="220"/>
      <c r="D32" s="221"/>
      <c r="E32" s="166" t="s">
        <v>25</v>
      </c>
      <c r="F32" s="167">
        <v>0.36</v>
      </c>
      <c r="G32" s="167">
        <v>141.33000000000001</v>
      </c>
      <c r="H32" s="113">
        <v>50.88</v>
      </c>
    </row>
    <row r="33" spans="1:17" ht="18" customHeight="1" x14ac:dyDescent="0.3">
      <c r="B33" s="219" t="s">
        <v>246</v>
      </c>
      <c r="C33" s="220"/>
      <c r="D33" s="221"/>
      <c r="E33" s="166" t="s">
        <v>171</v>
      </c>
      <c r="F33" s="167">
        <v>4.4000000000000004</v>
      </c>
      <c r="G33" s="167">
        <v>4.9000000000000004</v>
      </c>
      <c r="H33" s="113">
        <v>21.56</v>
      </c>
    </row>
    <row r="34" spans="1:17" ht="18" customHeight="1" x14ac:dyDescent="0.3">
      <c r="B34" s="219" t="s">
        <v>170</v>
      </c>
      <c r="C34" s="220"/>
      <c r="D34" s="221"/>
      <c r="E34" s="166" t="s">
        <v>171</v>
      </c>
      <c r="F34" s="167">
        <v>66.34</v>
      </c>
      <c r="G34" s="167">
        <v>1.3</v>
      </c>
      <c r="H34" s="113">
        <v>86.24</v>
      </c>
    </row>
    <row r="35" spans="1:17" ht="18" customHeight="1" x14ac:dyDescent="0.3">
      <c r="B35" s="219" t="s">
        <v>172</v>
      </c>
      <c r="C35" s="220"/>
      <c r="D35" s="221"/>
      <c r="E35" s="166" t="s">
        <v>173</v>
      </c>
      <c r="F35" s="167">
        <v>3.3250000000000002</v>
      </c>
      <c r="G35" s="167">
        <v>1.5</v>
      </c>
      <c r="H35" s="113">
        <v>4.99</v>
      </c>
    </row>
    <row r="36" spans="1:17" ht="18" customHeight="1" x14ac:dyDescent="0.3">
      <c r="B36" s="219" t="s">
        <v>247</v>
      </c>
      <c r="C36" s="220"/>
      <c r="D36" s="221"/>
      <c r="E36" s="166" t="s">
        <v>21</v>
      </c>
      <c r="F36" s="167">
        <v>24</v>
      </c>
      <c r="G36" s="167">
        <v>11.95</v>
      </c>
      <c r="H36" s="113">
        <v>286.8</v>
      </c>
    </row>
    <row r="37" spans="1:17" ht="18" customHeight="1" x14ac:dyDescent="0.3">
      <c r="B37" s="216"/>
      <c r="C37" s="217"/>
      <c r="D37" s="218"/>
      <c r="E37" s="122"/>
      <c r="F37" s="114"/>
      <c r="G37" s="114"/>
      <c r="H37" s="101"/>
    </row>
    <row r="38" spans="1:17" ht="18" customHeight="1" x14ac:dyDescent="0.3">
      <c r="B38" s="210" t="s">
        <v>95</v>
      </c>
      <c r="C38" s="211"/>
      <c r="D38" s="212"/>
      <c r="E38" s="212"/>
      <c r="F38" s="212"/>
      <c r="G38" s="213"/>
      <c r="H38" s="102">
        <v>1171.5999999999999</v>
      </c>
    </row>
    <row r="39" spans="1:17" ht="18" customHeight="1" x14ac:dyDescent="0.3">
      <c r="B39" s="103"/>
      <c r="C39" s="104"/>
      <c r="D39" s="77"/>
      <c r="E39" s="105"/>
      <c r="F39" s="106"/>
      <c r="G39" s="105"/>
      <c r="H39" s="107"/>
    </row>
    <row r="40" spans="1:17" ht="18" customHeight="1" x14ac:dyDescent="0.3">
      <c r="B40" s="225" t="s">
        <v>96</v>
      </c>
      <c r="C40" s="226"/>
      <c r="D40" s="227"/>
      <c r="E40" s="227"/>
      <c r="F40" s="227"/>
      <c r="G40" s="227"/>
      <c r="H40" s="228"/>
    </row>
    <row r="41" spans="1:17" ht="22.5" customHeight="1" x14ac:dyDescent="0.3">
      <c r="B41" s="214" t="s">
        <v>13</v>
      </c>
      <c r="C41" s="215"/>
      <c r="D41" s="123" t="s">
        <v>14</v>
      </c>
      <c r="E41" s="124" t="s">
        <v>79</v>
      </c>
      <c r="F41" s="124" t="s">
        <v>97</v>
      </c>
      <c r="G41" s="124" t="s">
        <v>98</v>
      </c>
      <c r="H41" s="125" t="s">
        <v>99</v>
      </c>
    </row>
    <row r="42" spans="1:17" ht="18" customHeight="1" x14ac:dyDescent="0.3">
      <c r="B42" s="229"/>
      <c r="C42" s="230"/>
      <c r="D42" s="126"/>
      <c r="E42" s="127"/>
      <c r="F42" s="128"/>
      <c r="G42" s="128"/>
      <c r="H42" s="121"/>
    </row>
    <row r="43" spans="1:17" ht="18" customHeight="1" x14ac:dyDescent="0.3">
      <c r="B43" s="231"/>
      <c r="C43" s="232"/>
      <c r="D43" s="129"/>
      <c r="E43" s="130"/>
      <c r="F43" s="131"/>
      <c r="G43" s="131"/>
      <c r="H43" s="101"/>
    </row>
    <row r="44" spans="1:17" ht="18" customHeight="1" x14ac:dyDescent="0.3">
      <c r="B44" s="210" t="s">
        <v>100</v>
      </c>
      <c r="C44" s="211"/>
      <c r="D44" s="212"/>
      <c r="E44" s="212"/>
      <c r="F44" s="212"/>
      <c r="G44" s="213"/>
      <c r="H44" s="102">
        <v>0</v>
      </c>
    </row>
    <row r="45" spans="1:17" ht="16.5" thickBot="1" x14ac:dyDescent="0.35">
      <c r="B45" s="132" t="s">
        <v>101</v>
      </c>
      <c r="C45" s="104"/>
      <c r="D45" s="104"/>
      <c r="E45" s="104"/>
      <c r="F45" s="104"/>
      <c r="G45" s="104"/>
      <c r="H45" s="133"/>
    </row>
    <row r="46" spans="1:17" x14ac:dyDescent="0.3">
      <c r="A46" s="88"/>
      <c r="B46" s="115"/>
      <c r="C46" s="116"/>
      <c r="D46" s="134"/>
      <c r="E46" s="135" t="s">
        <v>102</v>
      </c>
      <c r="F46" s="136"/>
      <c r="G46" s="136"/>
      <c r="H46" s="137">
        <f>ROUND(H14+H23+H38+H44,4)</f>
        <v>1225.6199999999999</v>
      </c>
      <c r="I46" s="89"/>
      <c r="L46" s="138"/>
      <c r="M46" s="138"/>
      <c r="N46" s="138"/>
      <c r="O46" s="138"/>
      <c r="P46" s="138"/>
      <c r="Q46" s="138"/>
    </row>
    <row r="47" spans="1:17" x14ac:dyDescent="0.3">
      <c r="A47" s="88"/>
      <c r="B47" s="139"/>
      <c r="C47" s="140"/>
      <c r="D47" s="140"/>
      <c r="E47" s="141" t="s">
        <v>103</v>
      </c>
      <c r="F47" s="142"/>
      <c r="G47" s="142" t="s">
        <v>104</v>
      </c>
      <c r="H47" s="143">
        <f>ROUND(G47*H46,2)</f>
        <v>245.12</v>
      </c>
      <c r="I47" s="89"/>
      <c r="L47" s="144"/>
      <c r="M47" s="144"/>
      <c r="N47" s="144"/>
      <c r="O47" s="144"/>
      <c r="P47" s="144"/>
      <c r="Q47" s="144"/>
    </row>
    <row r="48" spans="1:17" x14ac:dyDescent="0.3">
      <c r="A48" s="88"/>
      <c r="B48" s="145"/>
      <c r="C48" s="146"/>
      <c r="D48" s="77"/>
      <c r="E48" s="147" t="s">
        <v>105</v>
      </c>
      <c r="F48" s="148"/>
      <c r="G48" s="148"/>
      <c r="H48" s="149"/>
      <c r="I48" s="89"/>
    </row>
    <row r="49" spans="1:9" ht="16.5" thickBot="1" x14ac:dyDescent="0.35">
      <c r="A49" s="88"/>
      <c r="B49" s="208" t="s">
        <v>60</v>
      </c>
      <c r="C49" s="209"/>
      <c r="D49" s="209"/>
      <c r="E49" s="150" t="s">
        <v>106</v>
      </c>
      <c r="F49" s="151"/>
      <c r="G49" s="152"/>
      <c r="H49" s="153">
        <f>H46+H47</f>
        <v>1470.7399999999998</v>
      </c>
      <c r="I49" s="89"/>
    </row>
    <row r="50" spans="1:9" ht="16.5" thickBot="1" x14ac:dyDescent="0.35">
      <c r="A50" s="88"/>
      <c r="B50" s="206" t="s">
        <v>62</v>
      </c>
      <c r="C50" s="207"/>
      <c r="D50" s="207"/>
      <c r="E50" s="154" t="s">
        <v>107</v>
      </c>
      <c r="F50" s="155"/>
      <c r="G50" s="155"/>
      <c r="H50" s="156">
        <f>ROUND(H49,2)</f>
        <v>1470.74</v>
      </c>
      <c r="I50" s="89"/>
    </row>
    <row r="51" spans="1:9" x14ac:dyDescent="0.3">
      <c r="B51" s="157"/>
      <c r="C51" s="157"/>
      <c r="D51" s="158"/>
      <c r="E51" s="159"/>
      <c r="F51" s="160"/>
      <c r="G51" s="159"/>
      <c r="H51" s="159"/>
    </row>
    <row r="52" spans="1:9" x14ac:dyDescent="0.3">
      <c r="B52" s="161"/>
      <c r="C52" s="161"/>
      <c r="D52" s="162"/>
      <c r="E52" s="163"/>
      <c r="F52" s="163"/>
      <c r="G52" s="163"/>
      <c r="H52" s="163"/>
    </row>
  </sheetData>
  <sheetProtection formatCells="0" formatColumns="0" formatRows="0" insertColumns="0" insertRows="0" insertHyperlinks="0" deleteColumns="0" deleteRows="0" sort="0" autoFilter="0" pivotTables="0"/>
  <mergeCells count="39">
    <mergeCell ref="B34:D34"/>
    <mergeCell ref="B35:D35"/>
    <mergeCell ref="B36:D36"/>
    <mergeCell ref="B2:H2"/>
    <mergeCell ref="B3:H3"/>
    <mergeCell ref="B8:H8"/>
    <mergeCell ref="B9:C9"/>
    <mergeCell ref="B10:C10"/>
    <mergeCell ref="B4:H4"/>
    <mergeCell ref="B11:C11"/>
    <mergeCell ref="B29:D29"/>
    <mergeCell ref="B30:D30"/>
    <mergeCell ref="B31:D31"/>
    <mergeCell ref="B32:D32"/>
    <mergeCell ref="B33:D33"/>
    <mergeCell ref="B23:G23"/>
    <mergeCell ref="B27:D27"/>
    <mergeCell ref="B26:D26"/>
    <mergeCell ref="B25:H25"/>
    <mergeCell ref="B28:D28"/>
    <mergeCell ref="B13:C13"/>
    <mergeCell ref="B12:C12"/>
    <mergeCell ref="B19:C19"/>
    <mergeCell ref="B20:C20"/>
    <mergeCell ref="B21:C21"/>
    <mergeCell ref="B22:C22"/>
    <mergeCell ref="B18:C18"/>
    <mergeCell ref="B17:C17"/>
    <mergeCell ref="B16:H16"/>
    <mergeCell ref="B14:G14"/>
    <mergeCell ref="B50:D50"/>
    <mergeCell ref="B49:D49"/>
    <mergeCell ref="B44:G44"/>
    <mergeCell ref="B41:C41"/>
    <mergeCell ref="B37:D37"/>
    <mergeCell ref="B38:G38"/>
    <mergeCell ref="B40:H40"/>
    <mergeCell ref="B42:C42"/>
    <mergeCell ref="B43:C43"/>
  </mergeCells>
  <printOptions horizontalCentered="1" verticalCentered="1"/>
  <pageMargins left="0.5" right="0.25" top="0.30069439999999997" bottom="0.30069439999999997" header="0" footer="0"/>
  <pageSetup scale="85" orientation="portrait" errors="blank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25</vt:i4>
      </vt:variant>
    </vt:vector>
  </HeadingPairs>
  <TitlesOfParts>
    <vt:vector size="49" baseType="lpstr">
      <vt:lpstr>Presupuesto</vt:lpstr>
      <vt:lpstr>1.1</vt:lpstr>
      <vt:lpstr>1.2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3.1</vt:lpstr>
      <vt:lpstr>3.2</vt:lpstr>
      <vt:lpstr>3.3</vt:lpstr>
      <vt:lpstr>3.4</vt:lpstr>
      <vt:lpstr>3.5</vt:lpstr>
      <vt:lpstr>3.6</vt:lpstr>
      <vt:lpstr>3.7</vt:lpstr>
      <vt:lpstr>3.8</vt:lpstr>
      <vt:lpstr>'1.1'!Área_de_impresión</vt:lpstr>
      <vt:lpstr>'1.2'!Área_de_impresión</vt:lpstr>
      <vt:lpstr>'2.1'!Área_de_impresión</vt:lpstr>
      <vt:lpstr>'2.10'!Área_de_impresión</vt:lpstr>
      <vt:lpstr>'2.11'!Área_de_impresión</vt:lpstr>
      <vt:lpstr>'2.12'!Área_de_impresión</vt:lpstr>
      <vt:lpstr>'2.13'!Área_de_impresión</vt:lpstr>
      <vt:lpstr>'2.2'!Área_de_impresión</vt:lpstr>
      <vt:lpstr>'2.3'!Área_de_impresión</vt:lpstr>
      <vt:lpstr>'2.4'!Área_de_impresión</vt:lpstr>
      <vt:lpstr>'2.5'!Área_de_impresión</vt:lpstr>
      <vt:lpstr>'2.6'!Área_de_impresión</vt:lpstr>
      <vt:lpstr>'2.7'!Área_de_impresión</vt:lpstr>
      <vt:lpstr>'2.8'!Área_de_impresión</vt:lpstr>
      <vt:lpstr>'2.9'!Área_de_impresión</vt:lpstr>
      <vt:lpstr>'3.1'!Área_de_impresión</vt:lpstr>
      <vt:lpstr>'3.2'!Área_de_impresión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Presupuesto!Área_de_impresión</vt:lpstr>
      <vt:lpstr>Presupuesto!Títulos_a_imprimir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Carpio</dc:creator>
  <cp:lastModifiedBy>Jose Carpio</cp:lastModifiedBy>
  <cp:lastPrinted>2026-02-24T15:10:18Z</cp:lastPrinted>
  <dcterms:created xsi:type="dcterms:W3CDTF">2026-02-24T15:07:33Z</dcterms:created>
  <dcterms:modified xsi:type="dcterms:W3CDTF">2026-02-24T15:10:24Z</dcterms:modified>
</cp:coreProperties>
</file>