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EP 2026\05. PUENTE EL PLAYON DE TORATA\02 CRONOGRAMA DEL PUENTE EL PLAYON\"/>
    </mc:Choice>
  </mc:AlternateContent>
  <bookViews>
    <workbookView xWindow="0" yWindow="0" windowWidth="28800" windowHeight="12030"/>
  </bookViews>
  <sheets>
    <sheet name="Cronograma Valorado" sheetId="2" r:id="rId1"/>
  </sheets>
  <definedNames>
    <definedName name="_xlnm.Print_Area" localSheetId="0">'Cronograma Valorado'!$B$1:$L$88</definedName>
    <definedName name="_xlnm.Print_Titles" localSheetId="0">'Cronograma Valorado'!$1:$11</definedName>
  </definedNames>
  <calcPr calcId="162913"/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<sst xmlns="http://schemas.openxmlformats.org/spreadsheetml/2006/main" count="98" uniqueCount="71">
  <si>
    <t>GOBIERNO AUTONOMO DESCENTRALIZADO 
PROVINCIAL DE EL ORO</t>
  </si>
  <si>
    <t>TABLA DE DESCRIPCIÓN DE RUBROS, UNIDADES, CANTIDADES Y PRECIOS</t>
  </si>
  <si>
    <t>CRONOGRAMA VALORADO</t>
  </si>
  <si>
    <t>PROYECTO:</t>
  </si>
  <si>
    <t>CONSTRUCCIÓN DE PUENTE EN EL SITIO EL PLAYON, PARROQUIA TORATA, CANTÓN SANTA ROSA</t>
  </si>
  <si>
    <t xml:space="preserve">Elaborado: </t>
  </si>
  <si>
    <t>DIRECCIÒN DE ESTUDIOS , PROYECTOS Y COOPERACIÒN</t>
  </si>
  <si>
    <t>REVISIÓN:</t>
  </si>
  <si>
    <t>A</t>
  </si>
  <si>
    <t>Ubicación:</t>
  </si>
  <si>
    <t>PARROQUIA TORATA , CANTÓN SANTA ROSA</t>
  </si>
  <si>
    <t xml:space="preserve">Plazo:    </t>
  </si>
  <si>
    <t xml:space="preserve">TIEMPO EN </t>
  </si>
  <si>
    <t>Fecha:</t>
  </si>
  <si>
    <t>24/02/2026</t>
  </si>
  <si>
    <t>DÍAS CALENDARIO</t>
  </si>
  <si>
    <t>Nro.</t>
  </si>
  <si>
    <t>Descripción</t>
  </si>
  <si>
    <t>Unidad</t>
  </si>
  <si>
    <t>Cantidad</t>
  </si>
  <si>
    <t>P.Unitario</t>
  </si>
  <si>
    <t>P.Total</t>
  </si>
  <si>
    <t>Totales</t>
  </si>
  <si>
    <t/>
  </si>
  <si>
    <t>OBRAS PRELIMINARES</t>
  </si>
  <si>
    <t>LIMPIEZA Y DESBROCE</t>
  </si>
  <si>
    <t>m2</t>
  </si>
  <si>
    <t>TRAZADO Y REPLANTEO</t>
  </si>
  <si>
    <t>INFRAESTRUCTURA Y SUPERESTRUCTURA</t>
  </si>
  <si>
    <t>EXCAVACIÓN Y RELLENO PARA PUENTES</t>
  </si>
  <si>
    <t>m3</t>
  </si>
  <si>
    <t>EXCAVACIÓN MANUAL</t>
  </si>
  <si>
    <t>EXCAVACION EN ROCA</t>
  </si>
  <si>
    <t>EMPEDRADO BASE Ø&lt;=40cm</t>
  </si>
  <si>
    <t>RELLENO COMPACTADO CON MATERIAL DE MEJORAMIENTO</t>
  </si>
  <si>
    <t>TRANSPORTE DE MATERIAL DE MEJORAMIENTO</t>
  </si>
  <si>
    <t>m3-km</t>
  </si>
  <si>
    <t>HORMIGÓN SIMPLE f´c=240 kg/cm2</t>
  </si>
  <si>
    <t>ACERO DE REFUERZO fy=4200kg/cm2.</t>
  </si>
  <si>
    <t>Kg</t>
  </si>
  <si>
    <t>Suministro de acero estructural ASTM A-588</t>
  </si>
  <si>
    <t>Fabricación de acero estructural ASTM A-588</t>
  </si>
  <si>
    <t>Montaje de acero estructural  ASTM A-588</t>
  </si>
  <si>
    <t>kg</t>
  </si>
  <si>
    <t>Pintura acero estructural  ASTM A-588</t>
  </si>
  <si>
    <t>GAVIONES</t>
  </si>
  <si>
    <t>MITIGACIÓN DE IMPACTOS AMBIENTALES</t>
  </si>
  <si>
    <t>SEÑALIZACIÓN TIPO CABALLETE DE 1,20X0,60m. (HOMBRES TRABAJANDO)</t>
  </si>
  <si>
    <t>u</t>
  </si>
  <si>
    <t>RÓTULOS AMBIENTALES DE 1,20X0,80 TIPO PEDESTAL</t>
  </si>
  <si>
    <t>CINTA PLÁSTICA DE SEÑALIZACIÓN "PELIGRO"</t>
  </si>
  <si>
    <t>m</t>
  </si>
  <si>
    <t>PITUTOS DE DELIMITACIÓN CON CINTA REFLECTIVA</t>
  </si>
  <si>
    <t>CONOS EN POLIETILENO</t>
  </si>
  <si>
    <t>PALETAS DE SIGA Y PARE</t>
  </si>
  <si>
    <t>BATERÍA SANITARIA MÓVIL (u/mes)</t>
  </si>
  <si>
    <t>LETRERO DE OBRA 6.00 X4.00m (inc. estructura metalica, lona con impresión color)</t>
  </si>
  <si>
    <t>TOTAL:</t>
  </si>
  <si>
    <t>INVERSION MENSUAL</t>
  </si>
  <si>
    <t>AVANCE PARCIAL EN  %</t>
  </si>
  <si>
    <t>INVERSION ACUMULADA</t>
  </si>
  <si>
    <t>AVANCE ACUMULADO EN %</t>
  </si>
  <si>
    <t>ELABORADO:</t>
  </si>
  <si>
    <t>ING. JOSE CARPIO ROSALES.</t>
  </si>
  <si>
    <t>TÉCNICO 3 DE ESTUDIOS Y PROYECTOS</t>
  </si>
  <si>
    <t xml:space="preserve">APROBADO:_x000D_
_x000D_
</t>
  </si>
  <si>
    <t>REVISADO:</t>
  </si>
  <si>
    <t>ING JAIME ORTEGA CARRILLO</t>
  </si>
  <si>
    <t>ING. WILMER TORO OCHOA.</t>
  </si>
  <si>
    <t>JEFE DE ESTUDIOS, PROYECTOS Y COOPERACIÓN ( E )</t>
  </si>
  <si>
    <t>DIRECTOR DE ESTUDIOS, PROYECTOS Y COOPERACIÓN. (E)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</si>
</sst>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#,##0.00000"/>
    <numFmt numFmtId="165" formatCode="0\ &quot;DÍAS CALENDARIO&quot;"/>
    <numFmt numFmtId="166" formatCode="[$-C0A]mmmm/yyyy;@"/>
    <numFmt numFmtId="167" formatCode="#,##0.0000"/>
    <numFmt numFmtId="168" formatCode="&quot;Cuenca,  &quot;d&quot; de &quot;mmmm&quot; de &quot;yyyy"/>
  </numFmts>
  <fonts count="15" x14ac:knownFonts="1">
    <font>
      <sz val="11"/>
      <name val="Calibri"/>
      <family val="2"/>
      <scheme val="minor"/>
    </font>
    <font>
      <sz val="10"/>
      <name val="Century Gothic"/>
    </font>
    <font>
      <sz val="9"/>
      <name val="Century Gothic"/>
    </font>
    <font>
      <sz val="10"/>
      <name val="Arial"/>
    </font>
    <font>
      <b/>
      <sz val="9"/>
      <name val="Century Gothic"/>
    </font>
    <font>
      <b/>
      <sz val="14"/>
      <name val="Century Gothic"/>
    </font>
    <font>
      <b/>
      <sz val="11"/>
      <color theme="1"/>
      <name val="Century Gothic"/>
    </font>
    <font>
      <b/>
      <sz val="11"/>
      <name val="Century Gothic"/>
    </font>
    <font>
      <b/>
      <sz val="9"/>
      <color theme="1"/>
      <name val="Century Gothic"/>
    </font>
    <font>
      <sz val="9"/>
      <color theme="1"/>
      <name val="Century Gothic"/>
    </font>
    <font>
      <sz val="14"/>
      <name val="Century Gothic"/>
    </font>
    <font>
      <b/>
      <sz val="7"/>
      <name val="Century Gothic"/>
    </font>
    <font>
      <b/>
      <sz val="9"/>
      <color rgb="FF000000"/>
      <name val="Century Gothic"/>
    </font>
    <font>
      <sz val="11"/>
      <color theme="1"/>
      <name val="Calibri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3E2"/>
      </patternFill>
    </fill>
    <fill>
      <patternFill patternType="solid">
        <fgColor rgb="FFFFFFFF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000000"/>
      </right>
      <top/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3" fillId="0" borderId="1"/>
    <xf numFmtId="0" fontId="13" fillId="0" borderId="1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1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6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49" fontId="4" fillId="0" borderId="1" xfId="0" applyNumberFormat="1" applyFont="1" applyBorder="1" applyAlignment="1">
      <alignment horizontal="right" vertical="center"/>
    </xf>
    <xf numFmtId="165" fontId="8" fillId="0" borderId="0" xfId="0" applyNumberFormat="1" applyFont="1" applyAlignment="1">
      <alignment horizontal="left" vertical="center" wrapText="1"/>
    </xf>
    <xf numFmtId="165" fontId="8" fillId="0" borderId="0" xfId="0" applyNumberFormat="1" applyFont="1" applyAlignment="1">
      <alignment horizontal="left" vertical="center"/>
    </xf>
    <xf numFmtId="166" fontId="8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4" fontId="8" fillId="0" borderId="11" xfId="0" applyNumberFormat="1" applyFont="1" applyBorder="1" applyAlignment="1">
      <alignment horizontal="left" vertical="center" wrapText="1"/>
    </xf>
    <xf numFmtId="4" fontId="9" fillId="0" borderId="11" xfId="0" applyNumberFormat="1" applyFont="1" applyBorder="1" applyAlignment="1">
      <alignment horizontal="center" vertical="center"/>
    </xf>
    <xf numFmtId="4" fontId="9" fillId="0" borderId="11" xfId="0" applyNumberFormat="1" applyFont="1" applyBorder="1" applyAlignment="1">
      <alignment horizontal="right" vertical="center"/>
    </xf>
    <xf numFmtId="4" fontId="8" fillId="0" borderId="12" xfId="0" applyNumberFormat="1" applyFont="1" applyBorder="1" applyAlignment="1">
      <alignment horizontal="right" vertical="center"/>
    </xf>
    <xf numFmtId="43" fontId="8" fillId="3" borderId="10" xfId="0" applyNumberFormat="1" applyFont="1" applyFill="1" applyBorder="1" applyAlignment="1">
      <alignment horizontal="right" vertical="center"/>
    </xf>
    <xf numFmtId="43" fontId="8" fillId="3" borderId="11" xfId="0" applyNumberFormat="1" applyFont="1" applyFill="1" applyBorder="1" applyAlignment="1">
      <alignment horizontal="right" vertical="center"/>
    </xf>
    <xf numFmtId="43" fontId="8" fillId="3" borderId="11" xfId="0" applyNumberFormat="1" applyFont="1" applyFill="1" applyBorder="1" applyAlignment="1">
      <alignment horizontal="right" vertical="center"/>
    </xf>
    <xf numFmtId="43" fontId="9" fillId="3" borderId="13" xfId="0" applyNumberFormat="1" applyFont="1" applyFill="1" applyBorder="1" applyAlignment="1">
      <alignment horizontal="right" vertical="center"/>
    </xf>
    <xf numFmtId="43" fontId="9" fillId="3" borderId="17" xfId="0" applyNumberFormat="1" applyFont="1" applyFill="1" applyBorder="1" applyAlignment="1">
      <alignment horizontal="right" vertical="center"/>
    </xf>
    <xf numFmtId="43" fontId="2" fillId="3" borderId="18" xfId="0" applyNumberFormat="1" applyFont="1" applyFill="1" applyBorder="1" applyAlignment="1">
      <alignment horizontal="right" vertical="center"/>
    </xf>
    <xf numFmtId="43" fontId="2" fillId="3" borderId="19" xfId="0" applyNumberFormat="1" applyFont="1" applyFill="1" applyBorder="1" applyAlignment="1">
      <alignment horizontal="right" vertical="center"/>
    </xf>
    <xf numFmtId="3" fontId="9" fillId="0" borderId="17" xfId="0" applyNumberFormat="1" applyFont="1" applyBorder="1" applyAlignment="1">
      <alignment horizontal="center" vertical="center"/>
    </xf>
    <xf numFmtId="4" fontId="8" fillId="0" borderId="18" xfId="0" applyNumberFormat="1" applyFont="1" applyBorder="1" applyAlignment="1">
      <alignment horizontal="left" vertical="center" wrapText="1"/>
    </xf>
    <xf numFmtId="4" fontId="9" fillId="0" borderId="18" xfId="0" applyNumberFormat="1" applyFont="1" applyBorder="1" applyAlignment="1">
      <alignment horizontal="center" vertical="center"/>
    </xf>
    <xf numFmtId="4" fontId="9" fillId="0" borderId="18" xfId="0" applyNumberFormat="1" applyFont="1" applyBorder="1" applyAlignment="1">
      <alignment horizontal="right" vertical="center"/>
    </xf>
    <xf numFmtId="4" fontId="8" fillId="0" borderId="23" xfId="0" applyNumberFormat="1" applyFont="1" applyBorder="1" applyAlignment="1">
      <alignment horizontal="right" vertical="center"/>
    </xf>
    <xf numFmtId="43" fontId="8" fillId="3" borderId="17" xfId="0" applyNumberFormat="1" applyFont="1" applyFill="1" applyBorder="1" applyAlignment="1">
      <alignment horizontal="right" vertical="center"/>
    </xf>
    <xf numFmtId="43" fontId="4" fillId="3" borderId="18" xfId="0" applyNumberFormat="1" applyFont="1" applyFill="1" applyBorder="1" applyAlignment="1">
      <alignment horizontal="right" vertical="center"/>
    </xf>
    <xf numFmtId="3" fontId="9" fillId="0" borderId="24" xfId="0" applyNumberFormat="1" applyFont="1" applyBorder="1" applyAlignment="1">
      <alignment horizontal="center" vertical="center"/>
    </xf>
    <xf numFmtId="4" fontId="9" fillId="0" borderId="25" xfId="0" applyNumberFormat="1" applyFont="1" applyBorder="1" applyAlignment="1">
      <alignment horizontal="left" vertical="center" wrapText="1"/>
    </xf>
    <xf numFmtId="4" fontId="9" fillId="0" borderId="25" xfId="0" applyNumberFormat="1" applyFont="1" applyBorder="1" applyAlignment="1">
      <alignment horizontal="center" vertical="center"/>
    </xf>
    <xf numFmtId="4" fontId="9" fillId="0" borderId="25" xfId="0" applyNumberFormat="1" applyFont="1" applyBorder="1" applyAlignment="1">
      <alignment horizontal="right" vertical="center"/>
    </xf>
    <xf numFmtId="4" fontId="9" fillId="0" borderId="26" xfId="0" applyNumberFormat="1" applyFont="1" applyBorder="1" applyAlignment="1">
      <alignment horizontal="right" vertical="center"/>
    </xf>
    <xf numFmtId="43" fontId="9" fillId="3" borderId="24" xfId="0" applyNumberFormat="1" applyFont="1" applyFill="1" applyBorder="1" applyAlignment="1">
      <alignment horizontal="right" vertical="center"/>
    </xf>
    <xf numFmtId="43" fontId="2" fillId="3" borderId="25" xfId="0" applyNumberFormat="1" applyFont="1" applyFill="1" applyBorder="1" applyAlignment="1">
      <alignment horizontal="right" vertical="center"/>
    </xf>
    <xf numFmtId="43" fontId="2" fillId="3" borderId="25" xfId="0" applyNumberFormat="1" applyFont="1" applyFill="1" applyBorder="1" applyAlignment="1">
      <alignment horizontal="right" vertical="center"/>
    </xf>
    <xf numFmtId="43" fontId="2" fillId="3" borderId="27" xfId="0" applyNumberFormat="1" applyFont="1" applyFill="1" applyBorder="1" applyAlignment="1">
      <alignment horizontal="right" vertical="center"/>
    </xf>
    <xf numFmtId="4" fontId="4" fillId="0" borderId="3" xfId="1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" fontId="2" fillId="0" borderId="1" xfId="1" applyNumberFormat="1" applyFont="1" applyBorder="1" applyAlignment="1">
      <alignment horizontal="right" vertical="center"/>
    </xf>
    <xf numFmtId="4" fontId="4" fillId="0" borderId="1" xfId="1" applyNumberFormat="1" applyFont="1" applyBorder="1" applyAlignment="1">
      <alignment horizontal="right" vertical="center"/>
    </xf>
    <xf numFmtId="4" fontId="8" fillId="0" borderId="34" xfId="0" applyNumberFormat="1" applyFont="1" applyBorder="1" applyAlignment="1">
      <alignment horizontal="right" vertical="center"/>
    </xf>
    <xf numFmtId="4" fontId="8" fillId="0" borderId="35" xfId="0" applyNumberFormat="1" applyFont="1" applyBorder="1" applyAlignment="1">
      <alignment horizontal="right" vertical="center"/>
    </xf>
    <xf numFmtId="4" fontId="8" fillId="0" borderId="35" xfId="0" applyNumberFormat="1" applyFont="1" applyBorder="1" applyAlignment="1">
      <alignment horizontal="right" vertical="center"/>
    </xf>
    <xf numFmtId="9" fontId="2" fillId="0" borderId="1" xfId="3" applyNumberFormat="1" applyFont="1" applyBorder="1" applyAlignment="1">
      <alignment vertical="center"/>
    </xf>
    <xf numFmtId="4" fontId="8" fillId="0" borderId="39" xfId="4" applyNumberFormat="1" applyFont="1" applyBorder="1" applyAlignment="1">
      <alignment horizontal="right" vertical="center"/>
    </xf>
    <xf numFmtId="4" fontId="8" fillId="0" borderId="40" xfId="4" applyNumberFormat="1" applyFont="1" applyBorder="1" applyAlignment="1">
      <alignment horizontal="right" vertical="center"/>
    </xf>
    <xf numFmtId="4" fontId="8" fillId="0" borderId="40" xfId="4" applyNumberFormat="1" applyFont="1" applyBorder="1" applyAlignment="1">
      <alignment horizontal="right" vertical="center"/>
    </xf>
    <xf numFmtId="10" fontId="2" fillId="0" borderId="1" xfId="3" applyNumberFormat="1" applyFont="1" applyBorder="1" applyAlignment="1">
      <alignment vertical="center"/>
    </xf>
    <xf numFmtId="4" fontId="8" fillId="0" borderId="39" xfId="0" applyNumberFormat="1" applyFont="1" applyBorder="1" applyAlignment="1">
      <alignment horizontal="right" vertical="center"/>
    </xf>
    <xf numFmtId="4" fontId="8" fillId="0" borderId="40" xfId="0" applyNumberFormat="1" applyFont="1" applyBorder="1" applyAlignment="1">
      <alignment horizontal="right" vertical="center"/>
    </xf>
    <xf numFmtId="4" fontId="8" fillId="0" borderId="40" xfId="0" applyNumberFormat="1" applyFont="1" applyBorder="1" applyAlignment="1">
      <alignment horizontal="right" vertical="center"/>
    </xf>
    <xf numFmtId="4" fontId="8" fillId="0" borderId="44" xfId="4" applyNumberFormat="1" applyFont="1" applyBorder="1" applyAlignment="1">
      <alignment horizontal="right" vertical="center"/>
    </xf>
    <xf numFmtId="4" fontId="8" fillId="0" borderId="45" xfId="4" applyNumberFormat="1" applyFont="1" applyBorder="1" applyAlignment="1">
      <alignment horizontal="right" vertical="center"/>
    </xf>
    <xf numFmtId="4" fontId="8" fillId="0" borderId="45" xfId="4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 wrapText="1"/>
    </xf>
    <xf numFmtId="0" fontId="4" fillId="0" borderId="48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2" fillId="0" borderId="46" xfId="0" applyNumberFormat="1" applyFont="1" applyBorder="1" applyAlignment="1">
      <alignment horizontal="center" vertical="center" wrapText="1"/>
    </xf>
    <xf numFmtId="10" fontId="2" fillId="0" borderId="46" xfId="0" applyNumberFormat="1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10" fontId="2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1" xfId="2" applyFont="1" applyFill="1" applyBorder="1" applyAlignment="1">
      <alignment horizontal="left" vertical="center"/>
    </xf>
    <xf numFmtId="0" fontId="4" fillId="0" borderId="42" xfId="2" applyFont="1" applyFill="1" applyBorder="1" applyAlignment="1">
      <alignment horizontal="left" vertical="center"/>
    </xf>
    <xf numFmtId="0" fontId="4" fillId="0" borderId="43" xfId="2" applyFont="1" applyFill="1" applyBorder="1" applyAlignment="1">
      <alignment horizontal="left" vertical="center"/>
    </xf>
    <xf numFmtId="0" fontId="4" fillId="0" borderId="36" xfId="2" applyFont="1" applyFill="1" applyBorder="1" applyAlignment="1">
      <alignment horizontal="left" vertical="center"/>
    </xf>
    <xf numFmtId="0" fontId="4" fillId="0" borderId="37" xfId="2" applyFont="1" applyFill="1" applyBorder="1" applyAlignment="1">
      <alignment horizontal="left" vertical="center"/>
    </xf>
    <xf numFmtId="0" fontId="4" fillId="0" borderId="38" xfId="2" applyFont="1" applyFill="1" applyBorder="1" applyAlignment="1">
      <alignment horizontal="left" vertical="center"/>
    </xf>
    <xf numFmtId="49" fontId="4" fillId="0" borderId="4" xfId="1" applyNumberFormat="1" applyFont="1" applyBorder="1" applyAlignment="1">
      <alignment horizontal="right" vertical="center"/>
    </xf>
    <xf numFmtId="49" fontId="4" fillId="0" borderId="28" xfId="1" applyNumberFormat="1" applyFont="1" applyBorder="1" applyAlignment="1">
      <alignment horizontal="right" vertical="center"/>
    </xf>
    <xf numFmtId="49" fontId="4" fillId="0" borderId="29" xfId="1" applyNumberFormat="1" applyFont="1" applyBorder="1" applyAlignment="1">
      <alignment horizontal="right" vertical="center"/>
    </xf>
    <xf numFmtId="0" fontId="4" fillId="0" borderId="31" xfId="2" applyFont="1" applyFill="1" applyBorder="1" applyAlignment="1">
      <alignment horizontal="left" vertical="center"/>
    </xf>
    <xf numFmtId="0" fontId="4" fillId="0" borderId="32" xfId="2" applyFont="1" applyFill="1" applyBorder="1" applyAlignment="1">
      <alignment horizontal="left" vertical="center"/>
    </xf>
    <xf numFmtId="0" fontId="4" fillId="0" borderId="33" xfId="2" applyFont="1" applyFill="1" applyBorder="1" applyAlignment="1">
      <alignment horizontal="left" vertical="center"/>
    </xf>
    <xf numFmtId="0" fontId="4" fillId="0" borderId="46" xfId="0" applyFont="1" applyBorder="1" applyAlignment="1">
      <alignment horizontal="center" vertical="top"/>
    </xf>
    <xf numFmtId="0" fontId="4" fillId="0" borderId="47" xfId="0" applyFont="1" applyBorder="1" applyAlignment="1">
      <alignment horizontal="center" vertical="top"/>
    </xf>
    <xf numFmtId="0" fontId="4" fillId="0" borderId="48" xfId="0" applyFont="1" applyBorder="1" applyAlignment="1">
      <alignment horizontal="center" vertical="top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right" vertical="center"/>
    </xf>
    <xf numFmtId="4" fontId="9" fillId="0" borderId="21" xfId="0" applyNumberFormat="1" applyFont="1" applyBorder="1" applyAlignment="1">
      <alignment horizontal="right" vertical="center"/>
    </xf>
    <xf numFmtId="3" fontId="9" fillId="0" borderId="14" xfId="0" applyNumberFormat="1" applyFont="1" applyBorder="1" applyAlignment="1">
      <alignment horizontal="center" vertical="center"/>
    </xf>
    <xf numFmtId="3" fontId="9" fillId="0" borderId="20" xfId="0" applyNumberFormat="1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left" vertical="center" wrapText="1"/>
    </xf>
    <xf numFmtId="4" fontId="9" fillId="0" borderId="21" xfId="0" applyNumberFormat="1" applyFont="1" applyBorder="1" applyAlignment="1">
      <alignment horizontal="left" vertical="center" wrapText="1"/>
    </xf>
    <xf numFmtId="4" fontId="9" fillId="0" borderId="15" xfId="0" applyNumberFormat="1" applyFont="1" applyBorder="1" applyAlignment="1">
      <alignment horizontal="center" vertical="center"/>
    </xf>
    <xf numFmtId="4" fontId="9" fillId="0" borderId="21" xfId="0" applyNumberFormat="1" applyFont="1" applyBorder="1" applyAlignment="1">
      <alignment horizontal="center" vertical="center"/>
    </xf>
    <xf numFmtId="4" fontId="9" fillId="0" borderId="16" xfId="0" applyNumberFormat="1" applyFont="1" applyBorder="1" applyAlignment="1">
      <alignment horizontal="right" vertical="center"/>
    </xf>
    <xf numFmtId="4" fontId="9" fillId="0" borderId="22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5">
    <cellStyle name="Millares" xfId="4" builtinId="3"/>
    <cellStyle name="Normal" xfId="0" builtinId="0"/>
    <cellStyle name="Normal 2" xfId="1"/>
    <cellStyle name="Normal 6" xfId="2"/>
    <cellStyle name="Porcentaje" xfId="3" builtinId="5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38100</xdr:rowOff>
    </xdr:from>
    <xdr:ext cx="827405" cy="50673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  <xdr:oneCellAnchor>
    <xdr:from>
      <xdr:col>6</xdr:col>
      <xdr:colOff>428625</xdr:colOff>
      <xdr:row>0</xdr:row>
      <xdr:rowOff>29210</xdr:rowOff>
    </xdr:from>
    <xdr:ext cx="800100" cy="44894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prstGeom prst="rect">
          <a:avLst/>
        </a:prstGeom>
        <a:ln w="0" cmpd="sng">
          <a:noFill/>
          <a:miter lim="800000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102"/>
  <sheetViews>
    <sheetView showGridLines="0" tabSelected="1" view="pageBreakPreview" zoomScale="115" zoomScaleNormal="100" zoomScaleSheetLayoutView="115" workbookViewId="0">
      <pane xSplit="4" ySplit="11" topLeftCell="E54" activePane="bottomRight" state="frozen"/>
      <selection pane="topRight" activeCell="E1" sqref="E1"/>
      <selection pane="bottomLeft" activeCell="A12" sqref="A12"/>
      <selection pane="bottomRight" activeCell="D71" sqref="D71"/>
    </sheetView>
  </sheetViews>
  <sheetFormatPr baseColWidth="10" defaultColWidth="11.5703125" defaultRowHeight="15" x14ac:dyDescent="0.25"/>
  <cols>
    <col min="1" max="1" width="11.5703125" style="1"/>
    <col min="2" max="2" width="9.7109375" style="2" customWidth="1"/>
    <col min="3" max="3" width="50.7109375" style="2" customWidth="1"/>
    <col min="4" max="4" width="7.7109375" style="2" customWidth="1"/>
    <col min="5" max="5" width="10.7109375" style="2" customWidth="1"/>
    <col min="6" max="6" width="9.7109375" style="2" customWidth="1"/>
    <col min="7" max="7" width="11.7109375" style="2" customWidth="1"/>
    <col min="8" max="11" width="15.7109375" style="2" customWidth="1"/>
    <col min="12" max="12" width="11.5703125" style="2" hidden="1"/>
    <col min="13" max="256" width="11.5703125" style="2"/>
    <col min="257" max="258" width="11.5703125" style="3"/>
  </cols>
  <sheetData>
    <row r="1" spans="1:12" ht="36.950000000000003" customHeight="1" x14ac:dyDescent="0.25">
      <c r="A1" s="4">
        <f>+G62</f>
        <v>386494.61002000002</v>
      </c>
      <c r="B1" s="156" t="s">
        <v>0</v>
      </c>
      <c r="C1" s="156"/>
      <c r="D1" s="156"/>
      <c r="E1" s="156"/>
      <c r="F1" s="156"/>
      <c r="G1" s="156"/>
      <c r="H1" s="5"/>
      <c r="I1" s="6"/>
      <c r="J1" s="6"/>
      <c r="K1" s="5"/>
    </row>
    <row r="2" spans="1:12" x14ac:dyDescent="0.25">
      <c r="B2" s="162" t="s">
        <v>1</v>
      </c>
      <c r="C2" s="162"/>
      <c r="D2" s="162"/>
      <c r="E2" s="162"/>
      <c r="F2" s="162"/>
      <c r="G2" s="162"/>
      <c r="H2" s="7"/>
      <c r="I2" s="8"/>
      <c r="J2" s="8"/>
      <c r="K2" s="7"/>
    </row>
    <row r="3" spans="1:12" x14ac:dyDescent="0.25">
      <c r="B3" s="163" t="s">
        <v>2</v>
      </c>
      <c r="C3" s="163"/>
      <c r="D3" s="163"/>
      <c r="E3" s="163"/>
      <c r="F3" s="163"/>
      <c r="G3" s="163"/>
      <c r="H3" s="10"/>
      <c r="I3" s="11"/>
      <c r="J3" s="11"/>
      <c r="K3" s="10"/>
    </row>
    <row r="4" spans="1:12" x14ac:dyDescent="0.25">
      <c r="B4" s="9"/>
      <c r="C4" s="9"/>
      <c r="D4" s="9"/>
      <c r="E4" s="9"/>
      <c r="F4" s="9"/>
      <c r="G4" s="9"/>
      <c r="H4" s="9"/>
      <c r="I4" s="12"/>
      <c r="J4" s="12"/>
      <c r="K4" s="9"/>
    </row>
    <row r="5" spans="1:12" x14ac:dyDescent="0.25">
      <c r="B5" s="13" t="s">
        <v>3</v>
      </c>
      <c r="C5" s="161" t="s">
        <v>4</v>
      </c>
      <c r="D5" s="161"/>
      <c r="E5" s="161"/>
      <c r="F5" s="161"/>
      <c r="G5" s="161"/>
      <c r="H5" s="14"/>
      <c r="I5" s="1"/>
      <c r="J5" s="1"/>
      <c r="K5" s="15"/>
    </row>
    <row r="6" spans="1:12" ht="16.5" customHeight="1" x14ac:dyDescent="0.25">
      <c r="B6" s="13"/>
      <c r="C6" s="161"/>
      <c r="D6" s="161"/>
      <c r="E6" s="161"/>
      <c r="F6" s="161"/>
      <c r="G6" s="161"/>
      <c r="H6" s="14"/>
      <c r="I6" s="16"/>
      <c r="J6" s="16"/>
      <c r="K6" s="17"/>
    </row>
    <row r="7" spans="1:12" x14ac:dyDescent="0.25">
      <c r="B7" s="18" t="s">
        <v>5</v>
      </c>
      <c r="C7" s="19" t="s">
        <v>6</v>
      </c>
      <c r="D7" s="20"/>
      <c r="E7" s="20"/>
      <c r="F7" s="20"/>
      <c r="G7" s="21" t="s">
        <v>7</v>
      </c>
      <c r="H7" s="17" t="s">
        <v>8</v>
      </c>
    </row>
    <row r="8" spans="1:12" x14ac:dyDescent="0.25">
      <c r="B8" s="18" t="s">
        <v>9</v>
      </c>
      <c r="C8" s="19" t="s">
        <v>10</v>
      </c>
      <c r="D8" s="20"/>
      <c r="E8" s="20"/>
      <c r="F8" s="20"/>
      <c r="G8" s="14"/>
    </row>
    <row r="9" spans="1:12" ht="15.75" thickBot="1" x14ac:dyDescent="0.3">
      <c r="B9" s="20" t="s">
        <v>11</v>
      </c>
      <c r="C9" s="22">
        <v>120</v>
      </c>
      <c r="D9" s="23"/>
      <c r="E9" s="23"/>
      <c r="F9" s="23"/>
      <c r="G9" s="14"/>
      <c r="H9" s="157" t="s">
        <v>12</v>
      </c>
      <c r="I9" s="158"/>
      <c r="J9" s="158"/>
      <c r="K9" s="158"/>
    </row>
    <row r="10" spans="1:12" ht="15.75" thickBot="1" x14ac:dyDescent="0.3">
      <c r="B10" s="20" t="s">
        <v>13</v>
      </c>
      <c r="C10" s="24" t="s">
        <v>14</v>
      </c>
      <c r="D10" s="25"/>
      <c r="E10" s="25"/>
      <c r="F10" s="25"/>
      <c r="G10" s="14"/>
      <c r="H10" s="159" t="s">
        <v>15</v>
      </c>
      <c r="I10" s="160"/>
      <c r="J10" s="160"/>
      <c r="K10" s="160"/>
    </row>
    <row r="11" spans="1:12" ht="15.75" thickBot="1" x14ac:dyDescent="0.3">
      <c r="B11" s="26" t="s">
        <v>16</v>
      </c>
      <c r="C11" s="27" t="s">
        <v>17</v>
      </c>
      <c r="D11" s="27" t="s">
        <v>18</v>
      </c>
      <c r="E11" s="27" t="s">
        <v>19</v>
      </c>
      <c r="F11" s="27" t="s">
        <v>20</v>
      </c>
      <c r="G11" s="27" t="s">
        <v>21</v>
      </c>
      <c r="H11" s="28">
        <v>30</v>
      </c>
      <c r="I11" s="29">
        <v>60</v>
      </c>
      <c r="J11" s="29">
        <v>90</v>
      </c>
      <c r="K11" s="29">
        <v>120</v>
      </c>
      <c r="L11" s="30" t="s">
        <v>22</v>
      </c>
    </row>
    <row r="12" spans="1:12" ht="15.95" customHeight="1" x14ac:dyDescent="0.25">
      <c r="B12" s="31" t="s">
        <v>23</v>
      </c>
      <c r="C12" s="32" t="s">
        <v>24</v>
      </c>
      <c r="D12" s="33" t="s">
        <v>23</v>
      </c>
      <c r="E12" s="34" t="s">
        <v>23</v>
      </c>
      <c r="F12" s="34" t="s">
        <v>23</v>
      </c>
      <c r="G12" s="35">
        <v>4095.7006999999999</v>
      </c>
      <c r="H12" s="36">
        <v>4095.7006999999999</v>
      </c>
      <c r="I12" s="37">
        <v>0</v>
      </c>
      <c r="J12" s="37">
        <v>0</v>
      </c>
      <c r="K12" s="38">
        <v>0</v>
      </c>
      <c r="L12" s="39"/>
    </row>
    <row r="13" spans="1:12" ht="15.95" customHeight="1" x14ac:dyDescent="0.25">
      <c r="B13" s="148">
        <v>1</v>
      </c>
      <c r="C13" s="150" t="s">
        <v>25</v>
      </c>
      <c r="D13" s="152" t="s">
        <v>26</v>
      </c>
      <c r="E13" s="146">
        <v>1507.31</v>
      </c>
      <c r="F13" s="146">
        <v>1.73</v>
      </c>
      <c r="G13" s="154">
        <v>2607.6462999999999</v>
      </c>
      <c r="H13" s="40">
        <v>1507.31</v>
      </c>
      <c r="I13" s="41">
        <v>0</v>
      </c>
      <c r="J13" s="41">
        <v>0</v>
      </c>
      <c r="K13" s="41">
        <v>0</v>
      </c>
      <c r="L13" s="42"/>
    </row>
    <row r="14" spans="1:12" ht="15.95" customHeight="1" x14ac:dyDescent="0.25">
      <c r="B14" s="149"/>
      <c r="C14" s="151"/>
      <c r="D14" s="153"/>
      <c r="E14" s="147"/>
      <c r="F14" s="147"/>
      <c r="G14" s="155"/>
      <c r="H14" s="40">
        <v>2607.6462999999999</v>
      </c>
      <c r="I14" s="41">
        <v>0</v>
      </c>
      <c r="J14" s="41">
        <v>0</v>
      </c>
      <c r="K14" s="41">
        <v>0</v>
      </c>
      <c r="L14" s="42"/>
    </row>
    <row r="15" spans="1:12" ht="15.95" customHeight="1" x14ac:dyDescent="0.25">
      <c r="B15" s="148">
        <v>2</v>
      </c>
      <c r="C15" s="150" t="s">
        <v>27</v>
      </c>
      <c r="D15" s="152" t="s">
        <v>26</v>
      </c>
      <c r="E15" s="146">
        <v>664.31</v>
      </c>
      <c r="F15" s="146">
        <v>2.2400000000000002</v>
      </c>
      <c r="G15" s="154">
        <v>1488.0544</v>
      </c>
      <c r="H15" s="40">
        <v>664.31</v>
      </c>
      <c r="I15" s="41">
        <v>0</v>
      </c>
      <c r="J15" s="41">
        <v>0</v>
      </c>
      <c r="K15" s="41">
        <v>0</v>
      </c>
      <c r="L15" s="42"/>
    </row>
    <row r="16" spans="1:12" ht="15.95" customHeight="1" x14ac:dyDescent="0.25">
      <c r="B16" s="149"/>
      <c r="C16" s="151"/>
      <c r="D16" s="153"/>
      <c r="E16" s="147"/>
      <c r="F16" s="147"/>
      <c r="G16" s="155"/>
      <c r="H16" s="40">
        <v>1488.0544</v>
      </c>
      <c r="I16" s="41">
        <v>0</v>
      </c>
      <c r="J16" s="41">
        <v>0</v>
      </c>
      <c r="K16" s="41">
        <v>0</v>
      </c>
      <c r="L16" s="42"/>
    </row>
    <row r="17" spans="2:12" ht="15.95" customHeight="1" x14ac:dyDescent="0.25">
      <c r="B17" s="43" t="s">
        <v>23</v>
      </c>
      <c r="C17" s="44" t="s">
        <v>28</v>
      </c>
      <c r="D17" s="45" t="s">
        <v>23</v>
      </c>
      <c r="E17" s="46" t="s">
        <v>23</v>
      </c>
      <c r="F17" s="46" t="s">
        <v>23</v>
      </c>
      <c r="G17" s="47">
        <v>379633.46919999999</v>
      </c>
      <c r="H17" s="48">
        <v>74658.541500000007</v>
      </c>
      <c r="I17" s="49">
        <v>103934.82889999999</v>
      </c>
      <c r="J17" s="49">
        <v>89955.618799999997</v>
      </c>
      <c r="K17" s="49">
        <v>111084.48000000001</v>
      </c>
      <c r="L17" s="42"/>
    </row>
    <row r="18" spans="2:12" ht="15.95" customHeight="1" x14ac:dyDescent="0.25">
      <c r="B18" s="148">
        <v>3</v>
      </c>
      <c r="C18" s="150" t="s">
        <v>29</v>
      </c>
      <c r="D18" s="152" t="s">
        <v>30</v>
      </c>
      <c r="E18" s="146">
        <v>832.17</v>
      </c>
      <c r="F18" s="146">
        <v>10.99</v>
      </c>
      <c r="G18" s="154">
        <v>9145.5483000000004</v>
      </c>
      <c r="H18" s="40">
        <v>832.17</v>
      </c>
      <c r="I18" s="41">
        <v>0</v>
      </c>
      <c r="J18" s="41">
        <v>0</v>
      </c>
      <c r="K18" s="41">
        <v>0</v>
      </c>
      <c r="L18" s="42"/>
    </row>
    <row r="19" spans="2:12" ht="15.95" customHeight="1" x14ac:dyDescent="0.25">
      <c r="B19" s="149"/>
      <c r="C19" s="151"/>
      <c r="D19" s="153"/>
      <c r="E19" s="147"/>
      <c r="F19" s="147"/>
      <c r="G19" s="155"/>
      <c r="H19" s="40">
        <v>9145.5483000000004</v>
      </c>
      <c r="I19" s="41">
        <v>0</v>
      </c>
      <c r="J19" s="41">
        <v>0</v>
      </c>
      <c r="K19" s="41">
        <v>0</v>
      </c>
      <c r="L19" s="42"/>
    </row>
    <row r="20" spans="2:12" ht="15.95" customHeight="1" x14ac:dyDescent="0.25">
      <c r="B20" s="148">
        <v>4</v>
      </c>
      <c r="C20" s="150" t="s">
        <v>31</v>
      </c>
      <c r="D20" s="152" t="s">
        <v>30</v>
      </c>
      <c r="E20" s="146">
        <v>10.5</v>
      </c>
      <c r="F20" s="146">
        <v>9.73</v>
      </c>
      <c r="G20" s="154">
        <v>102.16500000000001</v>
      </c>
      <c r="H20" s="40">
        <v>10.5</v>
      </c>
      <c r="I20" s="41">
        <v>0</v>
      </c>
      <c r="J20" s="41">
        <v>0</v>
      </c>
      <c r="K20" s="41">
        <v>0</v>
      </c>
      <c r="L20" s="42"/>
    </row>
    <row r="21" spans="2:12" ht="15.95" customHeight="1" x14ac:dyDescent="0.25">
      <c r="B21" s="149"/>
      <c r="C21" s="151"/>
      <c r="D21" s="153"/>
      <c r="E21" s="147"/>
      <c r="F21" s="147"/>
      <c r="G21" s="155"/>
      <c r="H21" s="40">
        <v>102.16500000000001</v>
      </c>
      <c r="I21" s="41">
        <v>0</v>
      </c>
      <c r="J21" s="41">
        <v>0</v>
      </c>
      <c r="K21" s="41">
        <v>0</v>
      </c>
      <c r="L21" s="42"/>
    </row>
    <row r="22" spans="2:12" ht="15.95" customHeight="1" x14ac:dyDescent="0.25">
      <c r="B22" s="148">
        <v>5</v>
      </c>
      <c r="C22" s="150" t="s">
        <v>32</v>
      </c>
      <c r="D22" s="152" t="s">
        <v>30</v>
      </c>
      <c r="E22" s="146">
        <v>28.19</v>
      </c>
      <c r="F22" s="146">
        <v>13.51</v>
      </c>
      <c r="G22" s="154">
        <v>380.84690000000001</v>
      </c>
      <c r="H22" s="40">
        <v>28.19</v>
      </c>
      <c r="I22" s="41">
        <v>0</v>
      </c>
      <c r="J22" s="41">
        <v>0</v>
      </c>
      <c r="K22" s="41">
        <v>0</v>
      </c>
      <c r="L22" s="42"/>
    </row>
    <row r="23" spans="2:12" ht="15.95" customHeight="1" x14ac:dyDescent="0.25">
      <c r="B23" s="149"/>
      <c r="C23" s="151"/>
      <c r="D23" s="153"/>
      <c r="E23" s="147"/>
      <c r="F23" s="147"/>
      <c r="G23" s="155"/>
      <c r="H23" s="40">
        <v>380.84690000000001</v>
      </c>
      <c r="I23" s="41">
        <v>0</v>
      </c>
      <c r="J23" s="41">
        <v>0</v>
      </c>
      <c r="K23" s="41">
        <v>0</v>
      </c>
      <c r="L23" s="42"/>
    </row>
    <row r="24" spans="2:12" ht="15.95" customHeight="1" x14ac:dyDescent="0.25">
      <c r="B24" s="148">
        <v>6</v>
      </c>
      <c r="C24" s="150" t="s">
        <v>33</v>
      </c>
      <c r="D24" s="152" t="s">
        <v>30</v>
      </c>
      <c r="E24" s="146">
        <v>22.36</v>
      </c>
      <c r="F24" s="146">
        <v>29.59</v>
      </c>
      <c r="G24" s="154">
        <v>661.63239999999996</v>
      </c>
      <c r="H24" s="40">
        <v>22.36</v>
      </c>
      <c r="I24" s="41">
        <v>0</v>
      </c>
      <c r="J24" s="41">
        <v>0</v>
      </c>
      <c r="K24" s="41">
        <v>0</v>
      </c>
      <c r="L24" s="42"/>
    </row>
    <row r="25" spans="2:12" ht="15.95" customHeight="1" x14ac:dyDescent="0.25">
      <c r="B25" s="149"/>
      <c r="C25" s="151"/>
      <c r="D25" s="153"/>
      <c r="E25" s="147"/>
      <c r="F25" s="147"/>
      <c r="G25" s="155"/>
      <c r="H25" s="40">
        <v>661.63239999999996</v>
      </c>
      <c r="I25" s="41">
        <v>0</v>
      </c>
      <c r="J25" s="41">
        <v>0</v>
      </c>
      <c r="K25" s="41">
        <v>0</v>
      </c>
      <c r="L25" s="42"/>
    </row>
    <row r="26" spans="2:12" ht="15.95" customHeight="1" x14ac:dyDescent="0.25">
      <c r="B26" s="148">
        <v>7</v>
      </c>
      <c r="C26" s="150" t="s">
        <v>34</v>
      </c>
      <c r="D26" s="152" t="s">
        <v>30</v>
      </c>
      <c r="E26" s="146">
        <v>1387.25</v>
      </c>
      <c r="F26" s="146">
        <v>18.920000000000002</v>
      </c>
      <c r="G26" s="154">
        <v>26246.77</v>
      </c>
      <c r="H26" s="40">
        <v>1387.25</v>
      </c>
      <c r="I26" s="41">
        <v>0</v>
      </c>
      <c r="J26" s="41">
        <v>0</v>
      </c>
      <c r="K26" s="41">
        <v>0</v>
      </c>
      <c r="L26" s="42"/>
    </row>
    <row r="27" spans="2:12" ht="15.95" customHeight="1" x14ac:dyDescent="0.25">
      <c r="B27" s="149"/>
      <c r="C27" s="151"/>
      <c r="D27" s="153"/>
      <c r="E27" s="147"/>
      <c r="F27" s="147"/>
      <c r="G27" s="155"/>
      <c r="H27" s="40">
        <v>26246.77</v>
      </c>
      <c r="I27" s="41">
        <v>0</v>
      </c>
      <c r="J27" s="41">
        <v>0</v>
      </c>
      <c r="K27" s="41">
        <v>0</v>
      </c>
      <c r="L27" s="42"/>
    </row>
    <row r="28" spans="2:12" ht="15.95" customHeight="1" x14ac:dyDescent="0.25">
      <c r="B28" s="148">
        <v>8</v>
      </c>
      <c r="C28" s="150" t="s">
        <v>35</v>
      </c>
      <c r="D28" s="152" t="s">
        <v>36</v>
      </c>
      <c r="E28" s="146">
        <v>15128.4</v>
      </c>
      <c r="F28" s="146">
        <v>0.25</v>
      </c>
      <c r="G28" s="154">
        <v>3782.1</v>
      </c>
      <c r="H28" s="40">
        <v>15128.4</v>
      </c>
      <c r="I28" s="41">
        <v>0</v>
      </c>
      <c r="J28" s="41">
        <v>0</v>
      </c>
      <c r="K28" s="41">
        <v>0</v>
      </c>
      <c r="L28" s="42"/>
    </row>
    <row r="29" spans="2:12" ht="15.95" customHeight="1" x14ac:dyDescent="0.25">
      <c r="B29" s="149"/>
      <c r="C29" s="151"/>
      <c r="D29" s="153"/>
      <c r="E29" s="147"/>
      <c r="F29" s="147"/>
      <c r="G29" s="155"/>
      <c r="H29" s="40">
        <v>3782.1</v>
      </c>
      <c r="I29" s="41">
        <v>0</v>
      </c>
      <c r="J29" s="41">
        <v>0</v>
      </c>
      <c r="K29" s="41">
        <v>0</v>
      </c>
      <c r="L29" s="42"/>
    </row>
    <row r="30" spans="2:12" ht="15.95" customHeight="1" x14ac:dyDescent="0.25">
      <c r="B30" s="148">
        <v>9</v>
      </c>
      <c r="C30" s="150" t="s">
        <v>37</v>
      </c>
      <c r="D30" s="152" t="s">
        <v>30</v>
      </c>
      <c r="E30" s="146">
        <v>68.5</v>
      </c>
      <c r="F30" s="146">
        <v>266.10000000000002</v>
      </c>
      <c r="G30" s="154">
        <v>18227.849999999999</v>
      </c>
      <c r="H30" s="40">
        <v>68.5</v>
      </c>
      <c r="I30" s="41">
        <v>0</v>
      </c>
      <c r="J30" s="41">
        <v>0</v>
      </c>
      <c r="K30" s="41">
        <v>0</v>
      </c>
      <c r="L30" s="42"/>
    </row>
    <row r="31" spans="2:12" ht="15.95" customHeight="1" x14ac:dyDescent="0.25">
      <c r="B31" s="149"/>
      <c r="C31" s="151"/>
      <c r="D31" s="153"/>
      <c r="E31" s="147"/>
      <c r="F31" s="147"/>
      <c r="G31" s="155"/>
      <c r="H31" s="40">
        <v>18227.849999999999</v>
      </c>
      <c r="I31" s="41">
        <v>0</v>
      </c>
      <c r="J31" s="41">
        <v>0</v>
      </c>
      <c r="K31" s="41">
        <v>0</v>
      </c>
      <c r="L31" s="42"/>
    </row>
    <row r="32" spans="2:12" ht="15.95" customHeight="1" x14ac:dyDescent="0.25">
      <c r="B32" s="148">
        <v>10</v>
      </c>
      <c r="C32" s="150" t="s">
        <v>38</v>
      </c>
      <c r="D32" s="152" t="s">
        <v>39</v>
      </c>
      <c r="E32" s="146">
        <v>11895.34</v>
      </c>
      <c r="F32" s="146">
        <v>2.44</v>
      </c>
      <c r="G32" s="154">
        <v>29024.6296</v>
      </c>
      <c r="H32" s="40">
        <v>5947.67</v>
      </c>
      <c r="I32" s="41">
        <v>5947.67</v>
      </c>
      <c r="J32" s="41">
        <v>0</v>
      </c>
      <c r="K32" s="41">
        <v>0</v>
      </c>
      <c r="L32" s="42"/>
    </row>
    <row r="33" spans="2:12" ht="15.95" customHeight="1" x14ac:dyDescent="0.25">
      <c r="B33" s="149"/>
      <c r="C33" s="151"/>
      <c r="D33" s="153"/>
      <c r="E33" s="147"/>
      <c r="F33" s="147"/>
      <c r="G33" s="155"/>
      <c r="H33" s="40">
        <v>14512.3148</v>
      </c>
      <c r="I33" s="41">
        <v>14512.3148</v>
      </c>
      <c r="J33" s="41">
        <v>0</v>
      </c>
      <c r="K33" s="41">
        <v>0</v>
      </c>
      <c r="L33" s="42"/>
    </row>
    <row r="34" spans="2:12" ht="15.95" customHeight="1" x14ac:dyDescent="0.25">
      <c r="B34" s="148">
        <v>11</v>
      </c>
      <c r="C34" s="150" t="s">
        <v>40</v>
      </c>
      <c r="D34" s="152" t="s">
        <v>39</v>
      </c>
      <c r="E34" s="146">
        <v>47472</v>
      </c>
      <c r="F34" s="146">
        <v>2.64</v>
      </c>
      <c r="G34" s="154">
        <v>125326.08</v>
      </c>
      <c r="H34" s="40">
        <v>0</v>
      </c>
      <c r="I34" s="41">
        <v>14241.6</v>
      </c>
      <c r="J34" s="41">
        <v>14241.6</v>
      </c>
      <c r="K34" s="41">
        <v>18988.8</v>
      </c>
      <c r="L34" s="42"/>
    </row>
    <row r="35" spans="2:12" ht="15.95" customHeight="1" x14ac:dyDescent="0.25">
      <c r="B35" s="149"/>
      <c r="C35" s="151"/>
      <c r="D35" s="153"/>
      <c r="E35" s="147"/>
      <c r="F35" s="147"/>
      <c r="G35" s="155"/>
      <c r="H35" s="40">
        <v>0</v>
      </c>
      <c r="I35" s="41">
        <v>37597.824000000001</v>
      </c>
      <c r="J35" s="41">
        <v>37597.824000000001</v>
      </c>
      <c r="K35" s="41">
        <v>50130.432000000001</v>
      </c>
      <c r="L35" s="42"/>
    </row>
    <row r="36" spans="2:12" ht="15.95" customHeight="1" x14ac:dyDescent="0.25">
      <c r="B36" s="148">
        <v>12</v>
      </c>
      <c r="C36" s="150" t="s">
        <v>41</v>
      </c>
      <c r="D36" s="152" t="s">
        <v>39</v>
      </c>
      <c r="E36" s="146">
        <v>47472</v>
      </c>
      <c r="F36" s="146">
        <v>1.72</v>
      </c>
      <c r="G36" s="154">
        <v>81651.839999999997</v>
      </c>
      <c r="H36" s="40">
        <v>0</v>
      </c>
      <c r="I36" s="41">
        <v>14241.6</v>
      </c>
      <c r="J36" s="41">
        <v>14241.6</v>
      </c>
      <c r="K36" s="41">
        <v>18988.8</v>
      </c>
      <c r="L36" s="42"/>
    </row>
    <row r="37" spans="2:12" ht="15.95" customHeight="1" x14ac:dyDescent="0.25">
      <c r="B37" s="149"/>
      <c r="C37" s="151"/>
      <c r="D37" s="153"/>
      <c r="E37" s="147"/>
      <c r="F37" s="147"/>
      <c r="G37" s="155"/>
      <c r="H37" s="40">
        <v>0</v>
      </c>
      <c r="I37" s="41">
        <v>24495.552</v>
      </c>
      <c r="J37" s="41">
        <v>24495.552</v>
      </c>
      <c r="K37" s="41">
        <v>32660.736000000001</v>
      </c>
      <c r="L37" s="42"/>
    </row>
    <row r="38" spans="2:12" ht="15.95" customHeight="1" x14ac:dyDescent="0.25">
      <c r="B38" s="148">
        <v>13</v>
      </c>
      <c r="C38" s="150" t="s">
        <v>42</v>
      </c>
      <c r="D38" s="152" t="s">
        <v>43</v>
      </c>
      <c r="E38" s="146">
        <v>47472</v>
      </c>
      <c r="F38" s="146">
        <v>1.49</v>
      </c>
      <c r="G38" s="154">
        <v>70733.279999999999</v>
      </c>
      <c r="H38" s="40">
        <v>0</v>
      </c>
      <c r="I38" s="41">
        <v>14241.6</v>
      </c>
      <c r="J38" s="41">
        <v>14241.6</v>
      </c>
      <c r="K38" s="41">
        <v>18988.8</v>
      </c>
      <c r="L38" s="42"/>
    </row>
    <row r="39" spans="2:12" ht="15.95" customHeight="1" x14ac:dyDescent="0.25">
      <c r="B39" s="149"/>
      <c r="C39" s="151"/>
      <c r="D39" s="153"/>
      <c r="E39" s="147"/>
      <c r="F39" s="147"/>
      <c r="G39" s="155"/>
      <c r="H39" s="40">
        <v>0</v>
      </c>
      <c r="I39" s="41">
        <v>21219.984</v>
      </c>
      <c r="J39" s="41">
        <v>21219.984</v>
      </c>
      <c r="K39" s="41">
        <v>28293.312000000002</v>
      </c>
      <c r="L39" s="42"/>
    </row>
    <row r="40" spans="2:12" ht="15.95" customHeight="1" x14ac:dyDescent="0.25">
      <c r="B40" s="148">
        <v>14</v>
      </c>
      <c r="C40" s="150" t="s">
        <v>44</v>
      </c>
      <c r="D40" s="152" t="s">
        <v>39</v>
      </c>
      <c r="E40" s="146">
        <v>47472</v>
      </c>
      <c r="F40" s="146">
        <v>0.19</v>
      </c>
      <c r="G40" s="154">
        <v>9019.68</v>
      </c>
      <c r="H40" s="40">
        <v>0</v>
      </c>
      <c r="I40" s="41">
        <v>23736</v>
      </c>
      <c r="J40" s="41">
        <v>23736</v>
      </c>
      <c r="K40" s="41">
        <v>0</v>
      </c>
      <c r="L40" s="42"/>
    </row>
    <row r="41" spans="2:12" ht="15.95" customHeight="1" x14ac:dyDescent="0.25">
      <c r="B41" s="149"/>
      <c r="C41" s="151"/>
      <c r="D41" s="153"/>
      <c r="E41" s="147"/>
      <c r="F41" s="147"/>
      <c r="G41" s="155"/>
      <c r="H41" s="40">
        <v>0</v>
      </c>
      <c r="I41" s="41">
        <v>4509.84</v>
      </c>
      <c r="J41" s="41">
        <v>4509.84</v>
      </c>
      <c r="K41" s="41">
        <v>0</v>
      </c>
      <c r="L41" s="42"/>
    </row>
    <row r="42" spans="2:12" ht="15.95" customHeight="1" x14ac:dyDescent="0.25">
      <c r="B42" s="148">
        <v>15</v>
      </c>
      <c r="C42" s="150" t="s">
        <v>45</v>
      </c>
      <c r="D42" s="152" t="s">
        <v>30</v>
      </c>
      <c r="E42" s="146">
        <v>55.7</v>
      </c>
      <c r="F42" s="146">
        <v>95.71</v>
      </c>
      <c r="G42" s="154">
        <v>5331.0469999999996</v>
      </c>
      <c r="H42" s="40">
        <v>16.71</v>
      </c>
      <c r="I42" s="41">
        <v>16.71</v>
      </c>
      <c r="J42" s="41">
        <v>22.28</v>
      </c>
      <c r="K42" s="41">
        <v>0</v>
      </c>
      <c r="L42" s="42"/>
    </row>
    <row r="43" spans="2:12" ht="15.95" customHeight="1" x14ac:dyDescent="0.25">
      <c r="B43" s="149"/>
      <c r="C43" s="151"/>
      <c r="D43" s="153"/>
      <c r="E43" s="147"/>
      <c r="F43" s="147"/>
      <c r="G43" s="155"/>
      <c r="H43" s="40">
        <v>1599.3140999999998</v>
      </c>
      <c r="I43" s="41">
        <v>1599.3140999999998</v>
      </c>
      <c r="J43" s="41">
        <v>2132.4187999999999</v>
      </c>
      <c r="K43" s="41">
        <v>0</v>
      </c>
      <c r="L43" s="42"/>
    </row>
    <row r="44" spans="2:12" ht="15.95" customHeight="1" x14ac:dyDescent="0.25">
      <c r="B44" s="43" t="s">
        <v>23</v>
      </c>
      <c r="C44" s="44" t="s">
        <v>46</v>
      </c>
      <c r="D44" s="45" t="s">
        <v>23</v>
      </c>
      <c r="E44" s="46" t="s">
        <v>23</v>
      </c>
      <c r="F44" s="46" t="s">
        <v>23</v>
      </c>
      <c r="G44" s="47">
        <v>2765.4400999999998</v>
      </c>
      <c r="H44" s="48">
        <v>2078.2750249999999</v>
      </c>
      <c r="I44" s="49">
        <v>229.05502499999997</v>
      </c>
      <c r="J44" s="49">
        <v>229.05502499999997</v>
      </c>
      <c r="K44" s="49">
        <v>229.05502499999997</v>
      </c>
      <c r="L44" s="42"/>
    </row>
    <row r="45" spans="2:12" ht="15.95" customHeight="1" x14ac:dyDescent="0.25">
      <c r="B45" s="148">
        <v>16</v>
      </c>
      <c r="C45" s="150" t="s">
        <v>47</v>
      </c>
      <c r="D45" s="152" t="s">
        <v>48</v>
      </c>
      <c r="E45" s="146">
        <v>2</v>
      </c>
      <c r="F45" s="146">
        <v>178.94</v>
      </c>
      <c r="G45" s="154">
        <v>357.88</v>
      </c>
      <c r="H45" s="40">
        <v>0.5</v>
      </c>
      <c r="I45" s="41">
        <v>0.5</v>
      </c>
      <c r="J45" s="41">
        <v>0.5</v>
      </c>
      <c r="K45" s="41">
        <v>0.5</v>
      </c>
      <c r="L45" s="42"/>
    </row>
    <row r="46" spans="2:12" ht="15.95" customHeight="1" x14ac:dyDescent="0.25">
      <c r="B46" s="149"/>
      <c r="C46" s="151"/>
      <c r="D46" s="153"/>
      <c r="E46" s="147"/>
      <c r="F46" s="147"/>
      <c r="G46" s="155"/>
      <c r="H46" s="40">
        <v>89.47</v>
      </c>
      <c r="I46" s="41">
        <v>89.47</v>
      </c>
      <c r="J46" s="41">
        <v>89.47</v>
      </c>
      <c r="K46" s="41">
        <v>89.47</v>
      </c>
      <c r="L46" s="42"/>
    </row>
    <row r="47" spans="2:12" ht="15.95" customHeight="1" x14ac:dyDescent="0.25">
      <c r="B47" s="148">
        <v>17</v>
      </c>
      <c r="C47" s="150" t="s">
        <v>49</v>
      </c>
      <c r="D47" s="152" t="s">
        <v>48</v>
      </c>
      <c r="E47" s="146">
        <v>2</v>
      </c>
      <c r="F47" s="146">
        <v>181.45</v>
      </c>
      <c r="G47" s="154">
        <v>362.9</v>
      </c>
      <c r="H47" s="40">
        <v>0.5</v>
      </c>
      <c r="I47" s="41">
        <v>0.5</v>
      </c>
      <c r="J47" s="41">
        <v>0.5</v>
      </c>
      <c r="K47" s="41">
        <v>0.5</v>
      </c>
      <c r="L47" s="42"/>
    </row>
    <row r="48" spans="2:12" ht="15.95" customHeight="1" x14ac:dyDescent="0.25">
      <c r="B48" s="149"/>
      <c r="C48" s="151"/>
      <c r="D48" s="153"/>
      <c r="E48" s="147"/>
      <c r="F48" s="147"/>
      <c r="G48" s="155"/>
      <c r="H48" s="40">
        <v>90.724999999999994</v>
      </c>
      <c r="I48" s="41">
        <v>90.724999999999994</v>
      </c>
      <c r="J48" s="41">
        <v>90.724999999999994</v>
      </c>
      <c r="K48" s="41">
        <v>90.724999999999994</v>
      </c>
      <c r="L48" s="42"/>
    </row>
    <row r="49" spans="2:12" ht="15.95" customHeight="1" x14ac:dyDescent="0.25">
      <c r="B49" s="148">
        <v>18</v>
      </c>
      <c r="C49" s="150" t="s">
        <v>50</v>
      </c>
      <c r="D49" s="152" t="s">
        <v>51</v>
      </c>
      <c r="E49" s="146">
        <v>200.00040000000001</v>
      </c>
      <c r="F49" s="146">
        <v>0.26</v>
      </c>
      <c r="G49" s="154">
        <v>52.000100000000003</v>
      </c>
      <c r="H49" s="40">
        <v>50.000100000000003</v>
      </c>
      <c r="I49" s="41">
        <v>50.000100000000003</v>
      </c>
      <c r="J49" s="41">
        <v>50.000100000000003</v>
      </c>
      <c r="K49" s="41">
        <v>50.000100000000003</v>
      </c>
      <c r="L49" s="42"/>
    </row>
    <row r="50" spans="2:12" ht="15.95" customHeight="1" x14ac:dyDescent="0.25">
      <c r="B50" s="149"/>
      <c r="C50" s="151"/>
      <c r="D50" s="153"/>
      <c r="E50" s="147"/>
      <c r="F50" s="147"/>
      <c r="G50" s="155"/>
      <c r="H50" s="40">
        <v>13.000025000000001</v>
      </c>
      <c r="I50" s="41">
        <v>13.000025000000001</v>
      </c>
      <c r="J50" s="41">
        <v>13.000025000000001</v>
      </c>
      <c r="K50" s="41">
        <v>13.000025000000001</v>
      </c>
      <c r="L50" s="42"/>
    </row>
    <row r="51" spans="2:12" ht="15.95" customHeight="1" x14ac:dyDescent="0.25">
      <c r="B51" s="148">
        <v>19</v>
      </c>
      <c r="C51" s="150" t="s">
        <v>52</v>
      </c>
      <c r="D51" s="152" t="s">
        <v>48</v>
      </c>
      <c r="E51" s="146">
        <v>6</v>
      </c>
      <c r="F51" s="146">
        <v>9.32</v>
      </c>
      <c r="G51" s="154">
        <v>55.92</v>
      </c>
      <c r="H51" s="40">
        <v>1.5</v>
      </c>
      <c r="I51" s="41">
        <v>1.5</v>
      </c>
      <c r="J51" s="41">
        <v>1.5</v>
      </c>
      <c r="K51" s="41">
        <v>1.5</v>
      </c>
      <c r="L51" s="42"/>
    </row>
    <row r="52" spans="2:12" ht="15.95" customHeight="1" x14ac:dyDescent="0.25">
      <c r="B52" s="149"/>
      <c r="C52" s="151"/>
      <c r="D52" s="153"/>
      <c r="E52" s="147"/>
      <c r="F52" s="147"/>
      <c r="G52" s="155"/>
      <c r="H52" s="40">
        <v>13.98</v>
      </c>
      <c r="I52" s="41">
        <v>13.98</v>
      </c>
      <c r="J52" s="41">
        <v>13.98</v>
      </c>
      <c r="K52" s="41">
        <v>13.98</v>
      </c>
      <c r="L52" s="42"/>
    </row>
    <row r="53" spans="2:12" ht="15.95" customHeight="1" x14ac:dyDescent="0.25">
      <c r="B53" s="148">
        <v>20</v>
      </c>
      <c r="C53" s="150" t="s">
        <v>53</v>
      </c>
      <c r="D53" s="152" t="s">
        <v>48</v>
      </c>
      <c r="E53" s="146">
        <v>4</v>
      </c>
      <c r="F53" s="146">
        <v>21.88</v>
      </c>
      <c r="G53" s="154">
        <v>87.52</v>
      </c>
      <c r="H53" s="40">
        <v>1</v>
      </c>
      <c r="I53" s="41">
        <v>1</v>
      </c>
      <c r="J53" s="41">
        <v>1</v>
      </c>
      <c r="K53" s="41">
        <v>1</v>
      </c>
      <c r="L53" s="42"/>
    </row>
    <row r="54" spans="2:12" ht="15.95" customHeight="1" x14ac:dyDescent="0.25">
      <c r="B54" s="149"/>
      <c r="C54" s="151"/>
      <c r="D54" s="153"/>
      <c r="E54" s="147"/>
      <c r="F54" s="147"/>
      <c r="G54" s="155"/>
      <c r="H54" s="40">
        <v>21.88</v>
      </c>
      <c r="I54" s="41">
        <v>21.88</v>
      </c>
      <c r="J54" s="41">
        <v>21.88</v>
      </c>
      <c r="K54" s="41">
        <v>21.88</v>
      </c>
      <c r="L54" s="42"/>
    </row>
    <row r="55" spans="2:12" ht="15.95" customHeight="1" x14ac:dyDescent="0.25">
      <c r="B55" s="148">
        <v>21</v>
      </c>
      <c r="C55" s="150" t="s">
        <v>54</v>
      </c>
      <c r="D55" s="152" t="s">
        <v>48</v>
      </c>
      <c r="E55" s="146">
        <v>2</v>
      </c>
      <c r="F55" s="146">
        <v>14.42</v>
      </c>
      <c r="G55" s="154">
        <v>28.84</v>
      </c>
      <c r="H55" s="40">
        <v>2</v>
      </c>
      <c r="I55" s="41">
        <v>0</v>
      </c>
      <c r="J55" s="41">
        <v>0</v>
      </c>
      <c r="K55" s="41">
        <v>0</v>
      </c>
      <c r="L55" s="42"/>
    </row>
    <row r="56" spans="2:12" ht="15.95" customHeight="1" x14ac:dyDescent="0.25">
      <c r="B56" s="149"/>
      <c r="C56" s="151"/>
      <c r="D56" s="153"/>
      <c r="E56" s="147"/>
      <c r="F56" s="147"/>
      <c r="G56" s="155"/>
      <c r="H56" s="40">
        <v>28.84</v>
      </c>
      <c r="I56" s="41">
        <v>0</v>
      </c>
      <c r="J56" s="41">
        <v>0</v>
      </c>
      <c r="K56" s="41">
        <v>0</v>
      </c>
      <c r="L56" s="42"/>
    </row>
    <row r="57" spans="2:12" ht="15.95" customHeight="1" x14ac:dyDescent="0.25">
      <c r="B57" s="148">
        <v>22</v>
      </c>
      <c r="C57" s="150" t="s">
        <v>55</v>
      </c>
      <c r="D57" s="152" t="s">
        <v>48</v>
      </c>
      <c r="E57" s="146">
        <v>1</v>
      </c>
      <c r="F57" s="146">
        <v>349.64</v>
      </c>
      <c r="G57" s="154">
        <v>349.64</v>
      </c>
      <c r="H57" s="40">
        <v>1</v>
      </c>
      <c r="I57" s="41">
        <v>0</v>
      </c>
      <c r="J57" s="41">
        <v>0</v>
      </c>
      <c r="K57" s="41">
        <v>0</v>
      </c>
      <c r="L57" s="42"/>
    </row>
    <row r="58" spans="2:12" ht="15.95" customHeight="1" x14ac:dyDescent="0.25">
      <c r="B58" s="149"/>
      <c r="C58" s="151"/>
      <c r="D58" s="153"/>
      <c r="E58" s="147"/>
      <c r="F58" s="147"/>
      <c r="G58" s="155"/>
      <c r="H58" s="40">
        <v>349.64</v>
      </c>
      <c r="I58" s="41">
        <v>0</v>
      </c>
      <c r="J58" s="41">
        <v>0</v>
      </c>
      <c r="K58" s="41">
        <v>0</v>
      </c>
      <c r="L58" s="42"/>
    </row>
    <row r="59" spans="2:12" ht="15.95" customHeight="1" x14ac:dyDescent="0.25">
      <c r="B59" s="148">
        <v>23</v>
      </c>
      <c r="C59" s="150" t="s">
        <v>56</v>
      </c>
      <c r="D59" s="152" t="s">
        <v>48</v>
      </c>
      <c r="E59" s="146">
        <v>1</v>
      </c>
      <c r="F59" s="146">
        <v>1470.74</v>
      </c>
      <c r="G59" s="154">
        <v>1470.74</v>
      </c>
      <c r="H59" s="40">
        <v>1</v>
      </c>
      <c r="I59" s="41">
        <v>0</v>
      </c>
      <c r="J59" s="41">
        <v>0</v>
      </c>
      <c r="K59" s="41">
        <v>0</v>
      </c>
      <c r="L59" s="42"/>
    </row>
    <row r="60" spans="2:12" ht="15.95" customHeight="1" x14ac:dyDescent="0.25">
      <c r="B60" s="149"/>
      <c r="C60" s="151"/>
      <c r="D60" s="153"/>
      <c r="E60" s="147"/>
      <c r="F60" s="147"/>
      <c r="G60" s="155"/>
      <c r="H60" s="40">
        <v>1470.74</v>
      </c>
      <c r="I60" s="41">
        <v>0</v>
      </c>
      <c r="J60" s="41">
        <v>0</v>
      </c>
      <c r="K60" s="41">
        <v>0</v>
      </c>
      <c r="L60" s="42"/>
    </row>
    <row r="61" spans="2:12" ht="15.95" customHeight="1" x14ac:dyDescent="0.25">
      <c r="B61" s="50"/>
      <c r="C61" s="51"/>
      <c r="D61" s="52"/>
      <c r="E61" s="53"/>
      <c r="F61" s="53"/>
      <c r="G61" s="54"/>
      <c r="H61" s="55"/>
      <c r="I61" s="56"/>
      <c r="J61" s="56"/>
      <c r="K61" s="57"/>
      <c r="L61" s="58"/>
    </row>
    <row r="62" spans="2:12" ht="15.75" thickBot="1" x14ac:dyDescent="0.3">
      <c r="B62" s="134" t="s">
        <v>57</v>
      </c>
      <c r="C62" s="135"/>
      <c r="D62" s="135"/>
      <c r="E62" s="135"/>
      <c r="F62" s="136"/>
      <c r="G62" s="59">
        <v>386494.61002000002</v>
      </c>
      <c r="H62" s="60"/>
      <c r="I62" s="61"/>
      <c r="J62" s="61"/>
      <c r="K62" s="62"/>
    </row>
    <row r="63" spans="2:12" x14ac:dyDescent="0.25">
      <c r="B63" s="63"/>
      <c r="C63" s="64"/>
      <c r="D63" s="64"/>
      <c r="E63" s="64"/>
      <c r="F63" s="65"/>
      <c r="G63" s="66"/>
      <c r="H63" s="60"/>
    </row>
    <row r="64" spans="2:12" x14ac:dyDescent="0.25">
      <c r="B64" s="137" t="s">
        <v>58</v>
      </c>
      <c r="C64" s="138"/>
      <c r="D64" s="138"/>
      <c r="E64" s="138"/>
      <c r="F64" s="138"/>
      <c r="G64" s="139"/>
      <c r="H64" s="67">
        <v>80832.517229999998</v>
      </c>
      <c r="I64" s="68">
        <v>104163.88393</v>
      </c>
      <c r="J64" s="68">
        <v>90184.67383</v>
      </c>
      <c r="K64" s="69">
        <v>111313.53503</v>
      </c>
      <c r="L64" s="70"/>
    </row>
    <row r="65" spans="1:255" x14ac:dyDescent="0.25">
      <c r="B65" s="131" t="s">
        <v>59</v>
      </c>
      <c r="C65" s="132"/>
      <c r="D65" s="132"/>
      <c r="E65" s="132"/>
      <c r="F65" s="132"/>
      <c r="G65" s="133"/>
      <c r="H65" s="71">
        <v>20.914269999999998</v>
      </c>
      <c r="I65" s="72">
        <v>26.95093</v>
      </c>
      <c r="J65" s="72">
        <v>23.334009999999999</v>
      </c>
      <c r="K65" s="73">
        <v>28.800799999999999</v>
      </c>
      <c r="L65" s="74"/>
    </row>
    <row r="66" spans="1:255" x14ac:dyDescent="0.25">
      <c r="B66" s="131" t="s">
        <v>60</v>
      </c>
      <c r="C66" s="132"/>
      <c r="D66" s="132"/>
      <c r="E66" s="132"/>
      <c r="F66" s="132"/>
      <c r="G66" s="133"/>
      <c r="H66" s="75">
        <v>80832.517229999998</v>
      </c>
      <c r="I66" s="76">
        <v>184996.40114999999</v>
      </c>
      <c r="J66" s="76">
        <v>275181.07497999998</v>
      </c>
      <c r="K66" s="77">
        <v>386494.61</v>
      </c>
    </row>
    <row r="67" spans="1:255" ht="15.75" thickBot="1" x14ac:dyDescent="0.3">
      <c r="B67" s="128" t="s">
        <v>61</v>
      </c>
      <c r="C67" s="129"/>
      <c r="D67" s="129"/>
      <c r="E67" s="129"/>
      <c r="F67" s="129"/>
      <c r="G67" s="130"/>
      <c r="H67" s="78">
        <v>20.914269999999998</v>
      </c>
      <c r="I67" s="79">
        <v>47.865200000000002</v>
      </c>
      <c r="J67" s="79">
        <v>71.199200000000005</v>
      </c>
      <c r="K67" s="80">
        <v>100</v>
      </c>
      <c r="L67" s="74"/>
    </row>
    <row r="68" spans="1:255" x14ac:dyDescent="0.25">
      <c r="B68" s="81"/>
      <c r="C68" s="81"/>
      <c r="D68" s="81"/>
      <c r="E68" s="81"/>
      <c r="F68" s="81"/>
      <c r="G68" s="81"/>
      <c r="H68" s="62"/>
      <c r="I68" s="61"/>
      <c r="J68" s="61"/>
      <c r="K68" s="62"/>
    </row>
    <row r="69" spans="1:255" x14ac:dyDescent="0.25">
      <c r="B69" s="62"/>
      <c r="C69" s="62" t="s">
        <v>62</v>
      </c>
      <c r="D69" s="62"/>
      <c r="F69" s="82"/>
      <c r="G69" s="83"/>
      <c r="H69" s="62"/>
      <c r="I69" s="61"/>
      <c r="J69" s="61"/>
      <c r="K69" s="62"/>
      <c r="IT69" s="15"/>
      <c r="IU69" s="15"/>
    </row>
    <row r="70" spans="1:255" x14ac:dyDescent="0.25">
      <c r="B70" s="82"/>
      <c r="C70" s="62"/>
      <c r="D70" s="62"/>
      <c r="E70" s="82"/>
      <c r="F70" s="84"/>
      <c r="G70" s="83"/>
      <c r="H70" s="62"/>
      <c r="I70" s="61"/>
      <c r="J70" s="61"/>
      <c r="K70" s="62"/>
      <c r="IT70" s="15"/>
      <c r="IU70" s="15"/>
    </row>
    <row r="71" spans="1:255" x14ac:dyDescent="0.25">
      <c r="B71" s="82"/>
      <c r="C71" s="62"/>
      <c r="D71" s="62"/>
      <c r="E71" s="82"/>
      <c r="F71" s="84"/>
      <c r="G71" s="83"/>
      <c r="H71" s="62"/>
      <c r="I71" s="61"/>
      <c r="J71" s="61"/>
      <c r="K71" s="62"/>
      <c r="IT71" s="15"/>
      <c r="IU71" s="15"/>
    </row>
    <row r="72" spans="1:255" x14ac:dyDescent="0.25">
      <c r="B72" s="82"/>
      <c r="C72" s="62"/>
      <c r="D72" s="62"/>
      <c r="E72" s="82"/>
      <c r="F72" s="84"/>
      <c r="G72" s="83"/>
      <c r="H72" s="62"/>
      <c r="I72" s="61"/>
      <c r="J72" s="61"/>
      <c r="K72" s="62"/>
      <c r="IT72" s="15"/>
      <c r="IU72" s="15"/>
    </row>
    <row r="73" spans="1:255" ht="18" x14ac:dyDescent="0.25">
      <c r="B73" s="85"/>
      <c r="C73" s="86"/>
      <c r="D73" s="86"/>
      <c r="E73" s="85"/>
      <c r="F73" s="86"/>
      <c r="G73" s="83"/>
      <c r="H73" s="62"/>
      <c r="I73" s="61"/>
      <c r="J73" s="61"/>
      <c r="K73" s="62"/>
      <c r="IT73" s="15"/>
      <c r="IU73" s="15"/>
    </row>
    <row r="74" spans="1:255" x14ac:dyDescent="0.25">
      <c r="A74" s="87"/>
      <c r="B74" s="126" t="s">
        <v>63</v>
      </c>
      <c r="C74" s="126"/>
      <c r="D74" s="126"/>
      <c r="E74" s="126"/>
      <c r="F74" s="126"/>
      <c r="G74" s="126"/>
      <c r="H74" s="126"/>
      <c r="I74" s="61"/>
      <c r="J74" s="61"/>
      <c r="K74" s="62"/>
    </row>
    <row r="75" spans="1:255" ht="14.25" customHeight="1" x14ac:dyDescent="0.25">
      <c r="A75" s="87"/>
      <c r="B75" s="127" t="s">
        <v>64</v>
      </c>
      <c r="C75" s="127"/>
      <c r="D75" s="140"/>
      <c r="E75" s="141"/>
      <c r="F75" s="141"/>
      <c r="G75" s="141"/>
      <c r="H75" s="142"/>
      <c r="I75" s="61"/>
      <c r="J75" s="61"/>
      <c r="K75" s="62"/>
    </row>
    <row r="76" spans="1:255" ht="14.25" customHeight="1" x14ac:dyDescent="0.25">
      <c r="A76" s="87"/>
      <c r="B76" s="88"/>
      <c r="C76" s="88"/>
      <c r="D76" s="89"/>
      <c r="E76" s="90"/>
      <c r="F76" s="90"/>
      <c r="G76" s="90"/>
      <c r="H76" s="91"/>
      <c r="I76" s="61"/>
      <c r="J76" s="61"/>
      <c r="K76" s="62"/>
    </row>
    <row r="77" spans="1:255" ht="14.25" customHeight="1" x14ac:dyDescent="0.25">
      <c r="A77" s="87"/>
      <c r="B77" s="88"/>
      <c r="C77" s="88"/>
      <c r="D77" s="89"/>
      <c r="E77" s="90"/>
      <c r="F77" s="90"/>
      <c r="G77" s="90"/>
      <c r="H77" s="91"/>
      <c r="I77" s="61"/>
      <c r="J77" s="61"/>
      <c r="K77" s="62"/>
    </row>
    <row r="78" spans="1:255" ht="14.25" customHeight="1" x14ac:dyDescent="0.25">
      <c r="A78" s="87"/>
      <c r="B78" s="88"/>
      <c r="C78" s="88"/>
      <c r="D78" s="92"/>
      <c r="E78" s="92"/>
      <c r="F78" s="93" t="s">
        <v>65</v>
      </c>
      <c r="G78" s="92"/>
      <c r="H78" s="92"/>
      <c r="I78" s="61"/>
      <c r="J78" s="61"/>
      <c r="K78" s="62"/>
    </row>
    <row r="79" spans="1:255" ht="14.25" customHeight="1" x14ac:dyDescent="0.25">
      <c r="A79" s="87"/>
      <c r="B79" s="88"/>
      <c r="C79" s="94" t="s">
        <v>66</v>
      </c>
      <c r="D79" s="92"/>
      <c r="E79" s="92"/>
      <c r="F79" s="92"/>
      <c r="G79" s="92"/>
      <c r="H79" s="92"/>
      <c r="I79" s="61"/>
      <c r="J79" s="61"/>
      <c r="K79" s="62"/>
    </row>
    <row r="80" spans="1:255" ht="14.25" customHeight="1" x14ac:dyDescent="0.25">
      <c r="A80" s="87"/>
      <c r="B80" s="88"/>
      <c r="C80" s="94"/>
      <c r="D80" s="92"/>
      <c r="E80" s="92"/>
      <c r="F80" s="92"/>
      <c r="G80" s="92"/>
      <c r="H80" s="92"/>
      <c r="I80" s="61"/>
      <c r="J80" s="61"/>
      <c r="K80" s="62"/>
      <c r="IT80" s="87"/>
      <c r="IU80" s="87"/>
    </row>
    <row r="81" spans="1:255" ht="14.25" customHeight="1" x14ac:dyDescent="0.25">
      <c r="B81" s="95"/>
      <c r="C81" s="95"/>
      <c r="D81" s="92"/>
      <c r="E81" s="92"/>
      <c r="F81" s="92"/>
      <c r="G81" s="92"/>
      <c r="H81" s="92"/>
      <c r="I81" s="61"/>
      <c r="J81" s="61"/>
      <c r="K81" s="62"/>
      <c r="IT81" s="15"/>
      <c r="IU81" s="15"/>
    </row>
    <row r="82" spans="1:255" ht="14.25" customHeight="1" x14ac:dyDescent="0.25">
      <c r="B82" s="95"/>
      <c r="C82" s="95"/>
      <c r="D82" s="92"/>
      <c r="E82" s="92"/>
      <c r="F82" s="92"/>
      <c r="G82" s="92"/>
      <c r="H82" s="92"/>
      <c r="I82" s="61"/>
      <c r="J82" s="61"/>
      <c r="K82" s="62"/>
      <c r="IT82" s="15"/>
      <c r="IU82" s="15"/>
    </row>
    <row r="83" spans="1:255" x14ac:dyDescent="0.25">
      <c r="B83" s="62"/>
      <c r="C83" s="96"/>
      <c r="D83" s="96"/>
      <c r="E83" s="96"/>
      <c r="F83" s="84"/>
      <c r="G83" s="83"/>
      <c r="H83" s="62"/>
      <c r="I83" s="61"/>
      <c r="J83" s="61"/>
      <c r="K83" s="62"/>
      <c r="IT83" s="15"/>
      <c r="IU83" s="15"/>
    </row>
    <row r="84" spans="1:255" x14ac:dyDescent="0.25">
      <c r="B84" s="143" t="s">
        <v>67</v>
      </c>
      <c r="C84" s="145"/>
      <c r="D84" s="143" t="s">
        <v>68</v>
      </c>
      <c r="E84" s="144"/>
      <c r="F84" s="144"/>
      <c r="G84" s="144"/>
      <c r="H84" s="145"/>
      <c r="I84" s="61"/>
      <c r="J84" s="61"/>
      <c r="K84" s="62"/>
      <c r="IT84" s="15"/>
      <c r="IU84" s="15"/>
    </row>
    <row r="85" spans="1:255" x14ac:dyDescent="0.25">
      <c r="B85" s="123" t="s">
        <v>69</v>
      </c>
      <c r="C85" s="125"/>
      <c r="D85" s="123" t="s">
        <v>70</v>
      </c>
      <c r="E85" s="124"/>
      <c r="F85" s="124"/>
      <c r="G85" s="124"/>
      <c r="H85" s="125"/>
      <c r="I85" s="61"/>
      <c r="J85" s="61"/>
      <c r="K85" s="62"/>
      <c r="IT85" s="15"/>
      <c r="IU85" s="15"/>
    </row>
    <row r="86" spans="1:255" x14ac:dyDescent="0.25">
      <c r="B86" s="97"/>
      <c r="C86" s="97"/>
      <c r="D86" s="97"/>
      <c r="E86" s="97"/>
      <c r="F86" s="97"/>
      <c r="G86" s="97"/>
      <c r="H86" s="97"/>
      <c r="I86" s="98"/>
      <c r="J86" s="98"/>
      <c r="K86" s="97"/>
      <c r="L86" s="97"/>
      <c r="IT86" s="15"/>
      <c r="IU86" s="15"/>
    </row>
    <row r="87" spans="1:255" x14ac:dyDescent="0.25">
      <c r="A87" s="87"/>
      <c r="B87" s="99"/>
      <c r="C87" s="100"/>
      <c r="D87" s="100"/>
      <c r="E87" s="100"/>
      <c r="F87" s="100"/>
      <c r="G87" s="100"/>
      <c r="H87" s="100"/>
      <c r="I87" s="101"/>
      <c r="J87" s="101"/>
      <c r="K87" s="100"/>
      <c r="L87" s="102"/>
    </row>
    <row r="88" spans="1:255" ht="14.25" customHeight="1" x14ac:dyDescent="0.25">
      <c r="A88" s="87"/>
      <c r="B88" s="103"/>
      <c r="C88" s="88"/>
      <c r="D88" s="88"/>
      <c r="E88" s="88"/>
      <c r="F88" s="103"/>
      <c r="G88" s="103"/>
      <c r="H88" s="62"/>
      <c r="I88" s="61"/>
      <c r="J88" s="61"/>
      <c r="K88" s="62"/>
    </row>
    <row r="89" spans="1:255" x14ac:dyDescent="0.25">
      <c r="B89" s="104"/>
      <c r="C89" s="105"/>
      <c r="D89" s="106"/>
      <c r="E89" s="107"/>
      <c r="F89" s="107"/>
    </row>
    <row r="90" spans="1:255" x14ac:dyDescent="0.25">
      <c r="B90" s="108"/>
      <c r="C90" s="108"/>
      <c r="D90" s="108"/>
      <c r="E90" s="108"/>
      <c r="F90" s="107"/>
    </row>
    <row r="91" spans="1:255" x14ac:dyDescent="0.25">
      <c r="B91" s="109"/>
      <c r="C91" s="110"/>
      <c r="D91" s="111"/>
      <c r="E91" s="112"/>
      <c r="F91" s="107"/>
    </row>
    <row r="92" spans="1:255" x14ac:dyDescent="0.25">
      <c r="B92" s="113"/>
      <c r="C92" s="110"/>
      <c r="D92" s="107"/>
      <c r="E92" s="114"/>
      <c r="F92" s="107"/>
    </row>
    <row r="93" spans="1:255" x14ac:dyDescent="0.25">
      <c r="B93" s="113"/>
      <c r="C93" s="110"/>
      <c r="D93" s="107"/>
      <c r="E93" s="107"/>
      <c r="F93" s="107"/>
    </row>
    <row r="94" spans="1:255" x14ac:dyDescent="0.25">
      <c r="B94" s="113"/>
      <c r="C94" s="110"/>
      <c r="D94" s="105"/>
      <c r="E94" s="107"/>
      <c r="F94" s="111"/>
    </row>
    <row r="95" spans="1:255" x14ac:dyDescent="0.25">
      <c r="B95" s="113"/>
      <c r="C95" s="110"/>
      <c r="D95" s="107"/>
      <c r="E95" s="107"/>
      <c r="F95" s="111"/>
    </row>
    <row r="96" spans="1:255" x14ac:dyDescent="0.25">
      <c r="B96" s="113"/>
      <c r="C96" s="107"/>
      <c r="D96" s="107"/>
      <c r="E96" s="107"/>
      <c r="F96" s="107"/>
    </row>
    <row r="97" spans="2:6" x14ac:dyDescent="0.25">
      <c r="B97" s="115"/>
      <c r="C97" s="116"/>
      <c r="D97" s="116"/>
      <c r="E97" s="116"/>
      <c r="F97" s="116"/>
    </row>
    <row r="98" spans="2:6" x14ac:dyDescent="0.25">
      <c r="B98" s="117"/>
      <c r="C98" s="116"/>
      <c r="D98" s="116"/>
      <c r="E98" s="116"/>
      <c r="F98" s="116"/>
    </row>
    <row r="99" spans="2:6" x14ac:dyDescent="0.25">
      <c r="B99" s="117"/>
      <c r="C99" s="116"/>
      <c r="D99" s="116"/>
      <c r="E99" s="116"/>
      <c r="F99" s="116"/>
    </row>
    <row r="100" spans="2:6" x14ac:dyDescent="0.25">
      <c r="B100" s="118"/>
      <c r="C100" s="107"/>
      <c r="D100" s="107"/>
      <c r="E100" s="107"/>
    </row>
    <row r="101" spans="2:6" x14ac:dyDescent="0.25">
      <c r="B101" s="119"/>
      <c r="C101" s="115"/>
      <c r="D101" s="120"/>
      <c r="E101" s="121"/>
      <c r="F101" s="122"/>
    </row>
    <row r="102" spans="2:6" x14ac:dyDescent="0.25">
      <c r="C102" s="115"/>
      <c r="D102" s="122"/>
      <c r="E102" s="122"/>
      <c r="F102" s="122"/>
    </row>
  </sheetData>
  <sheetProtection formatCells="0" formatColumns="0" formatRows="0" insertColumns="0" insertRows="0" insertHyperlinks="0" deleteColumns="0" deleteRows="0" sort="0" autoFilter="0" pivotTables="0"/>
  <mergeCells count="157">
    <mergeCell ref="F24:F25"/>
    <mergeCell ref="G24:G25"/>
    <mergeCell ref="G26:G27"/>
    <mergeCell ref="G28:G29"/>
    <mergeCell ref="B20:B21"/>
    <mergeCell ref="B22:B23"/>
    <mergeCell ref="C20:C21"/>
    <mergeCell ref="D20:D21"/>
    <mergeCell ref="E20:E21"/>
    <mergeCell ref="C22:C23"/>
    <mergeCell ref="D22:D23"/>
    <mergeCell ref="E22:E23"/>
    <mergeCell ref="G13:G14"/>
    <mergeCell ref="F13:F14"/>
    <mergeCell ref="F15:F16"/>
    <mergeCell ref="G15:G16"/>
    <mergeCell ref="F18:F19"/>
    <mergeCell ref="G18:G19"/>
    <mergeCell ref="F20:F21"/>
    <mergeCell ref="G20:G21"/>
    <mergeCell ref="F22:F23"/>
    <mergeCell ref="G22:G23"/>
    <mergeCell ref="F45:F46"/>
    <mergeCell ref="F47:F48"/>
    <mergeCell ref="F49:F50"/>
    <mergeCell ref="F51:F52"/>
    <mergeCell ref="F53:F54"/>
    <mergeCell ref="F55:F56"/>
    <mergeCell ref="B1:G1"/>
    <mergeCell ref="H9:K9"/>
    <mergeCell ref="H10:K10"/>
    <mergeCell ref="C5:G6"/>
    <mergeCell ref="B2:G2"/>
    <mergeCell ref="B3:G3"/>
    <mergeCell ref="B13:B14"/>
    <mergeCell ref="C13:C14"/>
    <mergeCell ref="D13:D14"/>
    <mergeCell ref="E13:E14"/>
    <mergeCell ref="C15:C16"/>
    <mergeCell ref="D15:D16"/>
    <mergeCell ref="E15:E16"/>
    <mergeCell ref="B15:B16"/>
    <mergeCell ref="B18:B19"/>
    <mergeCell ref="C18:C19"/>
    <mergeCell ref="D18:D19"/>
    <mergeCell ref="E18:E19"/>
    <mergeCell ref="F26:F27"/>
    <mergeCell ref="F30:F31"/>
    <mergeCell ref="F28:F29"/>
    <mergeCell ref="F32:F33"/>
    <mergeCell ref="F34:F35"/>
    <mergeCell ref="F36:F37"/>
    <mergeCell ref="F38:F39"/>
    <mergeCell ref="F40:F41"/>
    <mergeCell ref="F42:F43"/>
    <mergeCell ref="D49:D50"/>
    <mergeCell ref="E49:E50"/>
    <mergeCell ref="E51:E52"/>
    <mergeCell ref="E53:E54"/>
    <mergeCell ref="B49:B50"/>
    <mergeCell ref="B51:B52"/>
    <mergeCell ref="C49:C50"/>
    <mergeCell ref="C51:C52"/>
    <mergeCell ref="D51:D52"/>
    <mergeCell ref="C53:C54"/>
    <mergeCell ref="D53:D54"/>
    <mergeCell ref="B42:B43"/>
    <mergeCell ref="B45:B46"/>
    <mergeCell ref="C42:C43"/>
    <mergeCell ref="D42:D43"/>
    <mergeCell ref="E42:E43"/>
    <mergeCell ref="C45:C46"/>
    <mergeCell ref="D45:D46"/>
    <mergeCell ref="E45:E46"/>
    <mergeCell ref="B47:B48"/>
    <mergeCell ref="C47:C48"/>
    <mergeCell ref="D47:D48"/>
    <mergeCell ref="E47:E48"/>
    <mergeCell ref="B30:B31"/>
    <mergeCell ref="B32:B33"/>
    <mergeCell ref="B34:B35"/>
    <mergeCell ref="C34:C35"/>
    <mergeCell ref="D34:D35"/>
    <mergeCell ref="E34:E35"/>
    <mergeCell ref="B36:B37"/>
    <mergeCell ref="B40:B41"/>
    <mergeCell ref="C36:C37"/>
    <mergeCell ref="D36:D37"/>
    <mergeCell ref="E36:E37"/>
    <mergeCell ref="B38:B39"/>
    <mergeCell ref="C38:C39"/>
    <mergeCell ref="D38:D39"/>
    <mergeCell ref="E38:E39"/>
    <mergeCell ref="C40:C41"/>
    <mergeCell ref="D40:D41"/>
    <mergeCell ref="E40:E41"/>
    <mergeCell ref="G49:G50"/>
    <mergeCell ref="G51:G52"/>
    <mergeCell ref="G53:G54"/>
    <mergeCell ref="G55:G56"/>
    <mergeCell ref="G57:G58"/>
    <mergeCell ref="G59:G60"/>
    <mergeCell ref="B24:B25"/>
    <mergeCell ref="C24:C25"/>
    <mergeCell ref="D24:D25"/>
    <mergeCell ref="E24:E25"/>
    <mergeCell ref="D26:D27"/>
    <mergeCell ref="E26:E27"/>
    <mergeCell ref="E28:E29"/>
    <mergeCell ref="E30:E31"/>
    <mergeCell ref="B26:B27"/>
    <mergeCell ref="B28:B29"/>
    <mergeCell ref="C26:C27"/>
    <mergeCell ref="C28:C29"/>
    <mergeCell ref="D28:D29"/>
    <mergeCell ref="C30:C31"/>
    <mergeCell ref="D30:D31"/>
    <mergeCell ref="C32:C33"/>
    <mergeCell ref="D32:D33"/>
    <mergeCell ref="E32:E33"/>
    <mergeCell ref="G34:G35"/>
    <mergeCell ref="G30:G31"/>
    <mergeCell ref="G32:G33"/>
    <mergeCell ref="G36:G37"/>
    <mergeCell ref="G38:G39"/>
    <mergeCell ref="G40:G41"/>
    <mergeCell ref="G42:G43"/>
    <mergeCell ref="G45:G46"/>
    <mergeCell ref="G47:G48"/>
    <mergeCell ref="F59:F60"/>
    <mergeCell ref="F57:F58"/>
    <mergeCell ref="B59:B60"/>
    <mergeCell ref="B55:B56"/>
    <mergeCell ref="B53:B54"/>
    <mergeCell ref="B57:B58"/>
    <mergeCell ref="C57:C58"/>
    <mergeCell ref="D57:D58"/>
    <mergeCell ref="E57:E58"/>
    <mergeCell ref="C59:C60"/>
    <mergeCell ref="D59:D60"/>
    <mergeCell ref="E59:E60"/>
    <mergeCell ref="C55:C56"/>
    <mergeCell ref="D55:D56"/>
    <mergeCell ref="E55:E56"/>
    <mergeCell ref="D85:H85"/>
    <mergeCell ref="D74:H74"/>
    <mergeCell ref="B74:C74"/>
    <mergeCell ref="B75:C75"/>
    <mergeCell ref="B67:G67"/>
    <mergeCell ref="B65:G65"/>
    <mergeCell ref="B62:F62"/>
    <mergeCell ref="B64:G64"/>
    <mergeCell ref="B66:G66"/>
    <mergeCell ref="D75:H75"/>
    <mergeCell ref="D84:H84"/>
    <mergeCell ref="B85:C85"/>
    <mergeCell ref="B84:C84"/>
  </mergeCells>
  <printOptions horizontalCentered="1"/>
  <pageMargins left="0.19685039370078741" right="0.19685039370078741" top="0.59055118110236227" bottom="0.39370078740157483" header="0" footer="0"/>
  <pageSetup paperSize="9" scale="80" orientation="landscape" errors="blank" r:id="rId1"/>
  <headerFooter>
    <oddHeader>&amp;R
Página &amp;P de &amp;N</oddHeader>
  </headerFooter>
  <rowBreaks count="2" manualBreakCount="2">
    <brk id="33" min="1" max="11" man="1"/>
    <brk id="58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Cronograma Valorado</vt:lpstr>
      <vt:lpstr>'Cronograma Valorado'!Área_de_impresión</vt:lpstr>
      <vt:lpstr>'Cronograma Valorado'!Títulos_a_imprimir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Carpio</dc:creator>
  <cp:lastModifiedBy>Jose Carpio</cp:lastModifiedBy>
  <cp:lastPrinted>2026-02-24T15:03:49Z</cp:lastPrinted>
  <dcterms:created xsi:type="dcterms:W3CDTF">2026-02-24T14:43:48Z</dcterms:created>
  <dcterms:modified xsi:type="dcterms:W3CDTF">2026-02-24T15:03:58Z</dcterms:modified>
</cp:coreProperties>
</file>