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application/x-msmetafile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Presupuesto" sheetId="2" r:id="rId1"/>
  </sheets>
  <definedNames>
    <definedName name="_xlnm.Print_Area" localSheetId="0">Presupuesto!$B$1:$G$59</definedName>
    <definedName name="_xlnm.Print_Titles" localSheetId="0">Presupuesto!$A:$G,Presupuesto!$1:$8</definedName>
  </definedNames>
  <calcPr/>
</workbook>
</file>

<file path=xl/calcChain.xml><?xml version="1.0" encoding="utf-8"?>
<calcChain xmlns="http://schemas.openxmlformats.org/spreadsheetml/2006/main">
  <c i="2" r="I1"/>
</calcChain>
</file>

<file path=xl/sharedStrings.xml><?xml version="1.0" encoding="utf-8"?>
<sst xmlns="http://schemas.openxmlformats.org/spreadsheetml/2006/main">
  <si>
    <t>GOBIERNO AUTONOMO DESCENTRALIZADO 
PROVINCIAL DE EL ORO</t>
  </si>
  <si>
    <t>Proyecto:</t>
  </si>
  <si>
    <t>CONSTRUCCIÓN DE PUENTE EN EL SITIO EL PLAYON, PARROQUIA TORATA, CANTÓN SANTA ROSA</t>
  </si>
  <si>
    <t xml:space="preserve">Elaborado: </t>
  </si>
  <si>
    <t>DIRECCIÒN DE ESTUDIOS , PROYECTOS Y COOPERACIÒN</t>
  </si>
  <si>
    <t>Ubicación:</t>
  </si>
  <si>
    <t>PARROQUIA TORATA , CANTÓN SANTA ROSA</t>
  </si>
  <si>
    <t>REVISIÓN:</t>
  </si>
  <si>
    <t>A</t>
  </si>
  <si>
    <t>Fecha:</t>
  </si>
  <si>
    <t>24/02/2026</t>
  </si>
  <si>
    <t>PRESUPUESTO</t>
  </si>
  <si>
    <t>Nro.</t>
  </si>
  <si>
    <t>Descripción</t>
  </si>
  <si>
    <t>Unidad</t>
  </si>
  <si>
    <t>Cantidad</t>
  </si>
  <si>
    <t>P.Unitario</t>
  </si>
  <si>
    <t>P.Total</t>
  </si>
  <si>
    <t/>
  </si>
  <si>
    <t>OBRAS PRELIMINARES</t>
  </si>
  <si>
    <t>LIMPIEZA Y DESBROCE</t>
  </si>
  <si>
    <t>m2</t>
  </si>
  <si>
    <t>TRAZADO Y REPLANTEO</t>
  </si>
  <si>
    <t>INFRAESTRUCTURA Y SUPERESTRUCTURA</t>
  </si>
  <si>
    <t>EXCAVACIÓN Y RELLENO PARA PUENTES</t>
  </si>
  <si>
    <t>m3</t>
  </si>
  <si>
    <t>EXCAVACIÓN MANUAL</t>
  </si>
  <si>
    <t>EXCAVACION EN ROCA</t>
  </si>
  <si>
    <t>EMPEDRADO BASE Ø&lt;=40cm</t>
  </si>
  <si>
    <t>RELLENO COMPACTADO CON MATERIAL DE MEJORAMIENTO</t>
  </si>
  <si>
    <t>TRANSPORTE DE MATERIAL DE MEJORAMIENTO</t>
  </si>
  <si>
    <t>m3-km</t>
  </si>
  <si>
    <t>HORMIGÓN SIMPLE f´c=240 kg/cm2</t>
  </si>
  <si>
    <t>ACERO DE REFUERZO fy=4200kg/cm2.</t>
  </si>
  <si>
    <t>Kg</t>
  </si>
  <si>
    <t>Suministro de acero estructural ASTM A-588</t>
  </si>
  <si>
    <t>Fabricación de acero estructural ASTM A-588</t>
  </si>
  <si>
    <t xml:space="preserve">Montaje de acero estructural  ASTM A-588</t>
  </si>
  <si>
    <t>kg</t>
  </si>
  <si>
    <t xml:space="preserve">Pintura acero estructural  ASTM A-588</t>
  </si>
  <si>
    <t>GAVIONES</t>
  </si>
  <si>
    <t>MITIGACIÓN DE IMPACTOS AMBIENTALES</t>
  </si>
  <si>
    <t>SEÑALIZACIÓN TIPO CABALLETE DE 1,20X0,60m. (HOMBRES TRABAJANDO)</t>
  </si>
  <si>
    <t>u</t>
  </si>
  <si>
    <t>RÓTULOS AMBIENTALES DE 1,20X0,80 TIPO PEDESTAL</t>
  </si>
  <si>
    <t>CINTA PLÁSTICA DE SEÑALIZACIÓN "PELIGRO"</t>
  </si>
  <si>
    <t>m</t>
  </si>
  <si>
    <t>PITUTOS DE DELIMITACIÓN CON CINTA REFLECTIVA</t>
  </si>
  <si>
    <t>CONOS EN POLIETILENO</t>
  </si>
  <si>
    <t>PALETAS DE SIGA Y PARE</t>
  </si>
  <si>
    <t>BATERÍA SANITARIA MÓVIL (u/mes)</t>
  </si>
  <si>
    <t>LETRERO DE OBRA 6.00 X4.00m (inc. estructura metalica, lona con impresión color)</t>
  </si>
  <si>
    <t>SUBTOTAL</t>
  </si>
  <si>
    <t>IVA</t>
  </si>
  <si>
    <t>15 %</t>
  </si>
  <si>
    <t>TOTAL</t>
  </si>
  <si>
    <t>SON:</t>
  </si>
  <si>
    <t xml:space="preserve">TRESCIENTOS OCHENTA Y  SEIS MIL CUATROCIENTOS NOVENTA Y  CUATRO  CON 61/100 DÓLARES DE LOS ESTADOS UNIDOS DE AMÉRICA</t>
  </si>
  <si>
    <t>ELABORADO:</t>
  </si>
  <si>
    <t xml:space="preserve">TECNICO: </t>
  </si>
  <si>
    <t>ING. JOSE CARPIO ROSALES.</t>
  </si>
  <si>
    <t>ARQ. CRISTHIAN TORRES RIVERA.</t>
  </si>
  <si>
    <t>TÉCNICO 3 DE ESTUDIOS Y PROYECTOS</t>
  </si>
  <si>
    <t>ANALISTA 2 DE ESTUDIOS Y PROYECTOS</t>
  </si>
  <si>
    <t>REVISADO:</t>
  </si>
  <si>
    <t xml:space="preserve">APROBADO:_x000d_
</t>
  </si>
  <si>
    <t xml:space="preserve"> </t>
  </si>
  <si>
    <t>ING JAIME ORTEGA CARRILLO</t>
  </si>
  <si>
    <t>ING. WILMER TORO OCHOA.</t>
  </si>
  <si>
    <t>JEFE DE ESTUDIOS, PROYECTOS Y COOPERACIÓN ( E )</t>
  </si>
  <si>
    <t>DIRECTOR DE ESTUDIOS, PROYECTOS Y COOPERACIÓN. (E)</t>
  </si>
</sst>
</file>

<file path=xl/styles.xml><?xml version="1.0" encoding="utf-8"?>
<styleSheet xmlns="http://schemas.openxmlformats.org/spreadsheetml/2006/main">
  <numFmts count="2">
    <numFmt numFmtId="164" formatCode="#,##0.00000"/>
    <numFmt numFmtId="165" formatCode="[$-C0A]mmmm/yyyy;@"/>
  </numFmts>
  <fonts count="11">
    <font>
      <sz val="11"/>
      <name val="Calibri"/>
      <family val="2"/>
      <scheme val="minor"/>
    </font>
    <font>
      <sz val="10"/>
      <name val="Arial"/>
    </font>
    <font>
      <sz val="10"/>
      <name val="Century Gothic"/>
    </font>
    <font>
      <sz val="9"/>
      <name val="Century Gothic"/>
    </font>
    <font>
      <b/>
      <sz val="14"/>
      <name val="Century Gothic"/>
    </font>
    <font>
      <b/>
      <sz val="9"/>
      <name val="Century Gothic"/>
    </font>
    <font>
      <b/>
      <sz val="10"/>
      <name val="Century Gothic"/>
    </font>
    <font>
      <sz val="14"/>
      <name val="Century Gothic"/>
    </font>
    <font>
      <sz val="8"/>
      <name val="Century Gothic"/>
    </font>
    <font>
      <b/>
      <sz val="8"/>
      <name val="Century Gothic"/>
    </font>
    <font>
      <b/>
      <sz val="7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8DB3E2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0"/>
      </right>
      <top>
        <color indexed="64"/>
      </top>
      <bottom>
        <color indexed="64"/>
      </bottom>
      <diagonal>
        <color indexed="64"/>
      </diagonal>
    </border>
    <border>
      <left>
        <color indexed="0"/>
      </left>
      <right>
        <color indexed="0"/>
      </right>
      <top>
        <color indexed="0"/>
      </top>
      <bottom style="medium">
        <color indexed="64"/>
      </bottom>
      <diagonal>
        <color indexed="0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>
        <color indexed="0"/>
      </left>
      <right style="medium">
        <color indexed="64"/>
      </right>
      <top>
        <color indexed="0"/>
      </top>
      <bottom>
        <color indexed="0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>
        <color indexed="64"/>
      </diagonal>
    </border>
    <border>
      <left style="medium">
        <color indexed="64"/>
      </left>
      <right style="thin">
        <color rgb="FF000000"/>
      </right>
      <top>
        <color indexed="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>
        <color indexed="0"/>
      </top>
      <bottom style="thin">
        <color rgb="FF000000"/>
      </bottom>
      <diagonal>
        <color indexed="64"/>
      </diagonal>
    </border>
    <border>
      <left style="thin">
        <color rgb="FF000000"/>
      </left>
      <right style="medium">
        <color indexed="64"/>
      </right>
      <top>
        <color indexed="0"/>
      </top>
      <bottom style="thin">
        <color rgb="FF000000"/>
      </bottom>
      <diagonal>
        <color indexed="64"/>
      </diagonal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>
        <color indexed="64"/>
      </diagonal>
    </border>
    <border>
      <left style="medium">
        <color indexed="64"/>
      </left>
      <right style="thin">
        <color rgb="FF000000"/>
      </right>
      <top style="thin">
        <color rgb="FF000000"/>
      </top>
      <bottom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indexed="64"/>
      </bottom>
      <diagonal>
        <color indexed="64"/>
      </diagonal>
    </border>
    <border>
      <left style="thin">
        <color rgb="FF000000"/>
      </left>
      <right style="medium">
        <color indexed="64"/>
      </right>
      <top style="thin">
        <color rgb="FF000000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0"/>
      </right>
      <top style="medium">
        <color indexed="64"/>
      </top>
      <bottom>
        <color indexed="0"/>
      </bottom>
      <diagonal>
        <color indexed="64"/>
      </diagonal>
    </border>
    <border>
      <left>
        <color indexed="0"/>
      </left>
      <right>
        <color indexed="0"/>
      </right>
      <top style="medium">
        <color indexed="64"/>
      </top>
      <bottom>
        <color indexed="0"/>
      </bottom>
      <diagonal>
        <color indexed="64"/>
      </diagonal>
    </border>
    <border>
      <left>
        <color indexed="0"/>
      </left>
      <right style="medium">
        <color indexed="64"/>
      </right>
      <top style="medium">
        <color indexed="64"/>
      </top>
      <bottom>
        <color indexed="0"/>
      </bottom>
      <diagonal>
        <color indexed="64"/>
      </diagonal>
    </border>
    <border>
      <left style="medium">
        <color indexed="64"/>
      </left>
      <right>
        <color indexed="0"/>
      </right>
      <top>
        <color indexed="0"/>
      </top>
      <bottom>
        <color indexed="0"/>
      </bottom>
      <diagonal>
        <color indexed="64"/>
      </diagonal>
    </border>
    <border>
      <left style="medium">
        <color rgb="FF000000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medium">
        <color rgb="FF000000"/>
      </right>
      <top>
        <color indexed="64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0"/>
      </right>
      <top>
        <color indexed="0"/>
      </top>
      <bottom style="medium">
        <color indexed="64"/>
      </bottom>
      <diagonal>
        <color indexed="64"/>
      </diagonal>
    </border>
    <border>
      <left>
        <color indexed="0"/>
      </left>
      <right style="medium">
        <color indexed="64"/>
      </right>
      <top>
        <color indexed="0"/>
      </top>
      <bottom style="medium">
        <color indexed="64"/>
      </bottom>
      <diagonal>
        <color indexed="64"/>
      </diagonal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horizontal="left" vertical="center" wrapText="1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right" vertical="center"/>
    </xf>
    <xf numFmtId="4" fontId="5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3" fontId="3" fillId="0" borderId="14" xfId="0" applyNumberFormat="1" applyFont="1" applyFill="1" applyBorder="1" applyAlignment="1">
      <alignment horizontal="center" vertical="center" wrapText="1"/>
    </xf>
    <xf numFmtId="164" fontId="5" fillId="0" borderId="15" xfId="0" applyNumberFormat="1" applyFont="1" applyFill="1" applyBorder="1" applyAlignment="1">
      <alignment horizontal="left" vertical="center" wrapText="1"/>
    </xf>
    <xf numFmtId="164" fontId="3" fillId="0" borderId="15" xfId="0" applyNumberFormat="1" applyFont="1" applyFill="1" applyBorder="1" applyAlignment="1">
      <alignment horizontal="center" vertical="center"/>
    </xf>
    <xf numFmtId="164" fontId="3" fillId="0" borderId="15" xfId="0" applyNumberFormat="1" applyFont="1" applyFill="1" applyBorder="1" applyAlignment="1">
      <alignment horizontal="right" vertical="center"/>
    </xf>
    <xf numFmtId="4" fontId="3" fillId="0" borderId="15" xfId="0" applyNumberFormat="1" applyFont="1" applyFill="1" applyBorder="1" applyAlignment="1">
      <alignment horizontal="right" vertical="center"/>
    </xf>
    <xf numFmtId="4" fontId="5" fillId="0" borderId="16" xfId="0" applyNumberFormat="1" applyFont="1" applyFill="1" applyBorder="1" applyAlignment="1">
      <alignment horizontal="right" vertical="center"/>
    </xf>
    <xf numFmtId="3" fontId="3" fillId="0" borderId="17" xfId="0" applyNumberFormat="1" applyFont="1" applyFill="1" applyBorder="1" applyAlignment="1">
      <alignment horizontal="center" vertical="center"/>
    </xf>
    <xf numFmtId="164" fontId="3" fillId="0" borderId="18" xfId="0" applyNumberFormat="1" applyFont="1" applyFill="1" applyBorder="1" applyAlignment="1">
      <alignment horizontal="left" vertical="center" wrapText="1"/>
    </xf>
    <xf numFmtId="164" fontId="3" fillId="0" borderId="18" xfId="0" applyNumberFormat="1" applyFont="1" applyFill="1" applyBorder="1" applyAlignment="1">
      <alignment horizontal="center" vertical="center"/>
    </xf>
    <xf numFmtId="164" fontId="3" fillId="0" borderId="18" xfId="0" applyNumberFormat="1" applyFont="1" applyFill="1" applyBorder="1" applyAlignment="1">
      <alignment horizontal="right" vertical="center"/>
    </xf>
    <xf numFmtId="4" fontId="3" fillId="0" borderId="18" xfId="0" applyNumberFormat="1" applyFont="1" applyFill="1" applyBorder="1" applyAlignment="1">
      <alignment horizontal="right" vertical="center"/>
    </xf>
    <xf numFmtId="4" fontId="3" fillId="0" borderId="19" xfId="0" applyNumberFormat="1" applyFont="1" applyFill="1" applyBorder="1" applyAlignment="1">
      <alignment horizontal="right" vertical="center"/>
    </xf>
    <xf numFmtId="164" fontId="5" fillId="0" borderId="18" xfId="0" applyNumberFormat="1" applyFont="1" applyFill="1" applyBorder="1" applyAlignment="1">
      <alignment horizontal="left" vertical="center" wrapText="1"/>
    </xf>
    <xf numFmtId="4" fontId="5" fillId="0" borderId="19" xfId="0" applyNumberFormat="1" applyFont="1" applyFill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4" fontId="3" fillId="0" borderId="21" xfId="0" applyNumberFormat="1" applyFont="1" applyBorder="1" applyAlignment="1">
      <alignment horizontal="right" vertical="center"/>
    </xf>
    <xf numFmtId="4" fontId="5" fillId="0" borderId="22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3" fillId="0" borderId="24" xfId="0" applyNumberFormat="1" applyFont="1" applyBorder="1" applyAlignment="1">
      <alignment horizontal="right" vertical="center"/>
    </xf>
    <xf numFmtId="4" fontId="5" fillId="0" borderId="25" xfId="0" applyNumberFormat="1" applyFont="1" applyBorder="1" applyAlignment="1">
      <alignment horizontal="right" vertical="center"/>
    </xf>
    <xf numFmtId="49" fontId="5" fillId="0" borderId="26" xfId="0" applyNumberFormat="1" applyFont="1" applyBorder="1" applyAlignment="1">
      <alignment horizontal="right" vertical="center"/>
    </xf>
    <xf numFmtId="49" fontId="5" fillId="0" borderId="27" xfId="0" applyNumberFormat="1" applyFont="1" applyBorder="1" applyAlignment="1">
      <alignment horizontal="right" vertical="center"/>
    </xf>
    <xf numFmtId="4" fontId="3" fillId="0" borderId="27" xfId="0" applyNumberFormat="1" applyFont="1" applyBorder="1" applyAlignment="1">
      <alignment horizontal="right" vertical="center"/>
    </xf>
    <xf numFmtId="4" fontId="5" fillId="0" borderId="28" xfId="0" applyNumberFormat="1" applyFont="1" applyBorder="1" applyAlignment="1">
      <alignment horizontal="right" vertical="center"/>
    </xf>
    <xf numFmtId="49" fontId="3" fillId="0" borderId="29" xfId="0" applyNumberFormat="1" applyFont="1" applyBorder="1" applyAlignment="1">
      <alignment horizontal="left" vertical="center"/>
    </xf>
    <xf numFmtId="49" fontId="3" fillId="0" borderId="30" xfId="0" applyNumberFormat="1" applyFont="1" applyBorder="1" applyAlignment="1">
      <alignment horizontal="left" vertical="center"/>
    </xf>
    <xf numFmtId="49" fontId="3" fillId="0" borderId="30" xfId="0" applyNumberFormat="1" applyFont="1" applyBorder="1" applyAlignment="1">
      <alignment horizontal="center" vertical="center"/>
    </xf>
    <xf numFmtId="4" fontId="3" fillId="0" borderId="30" xfId="0" applyNumberFormat="1" applyFont="1" applyBorder="1" applyAlignment="1">
      <alignment horizontal="right" vertical="center"/>
    </xf>
    <xf numFmtId="4" fontId="3" fillId="0" borderId="31" xfId="0" applyNumberFormat="1" applyFont="1" applyBorder="1" applyAlignment="1">
      <alignment horizontal="right" vertical="center"/>
    </xf>
    <xf numFmtId="49" fontId="5" fillId="0" borderId="3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3" xfId="0" applyNumberFormat="1" applyFont="1" applyBorder="1" applyAlignment="1">
      <alignment horizontal="left" vertical="top" wrapText="1"/>
    </xf>
    <xf numFmtId="49" fontId="3" fillId="0" borderId="32" xfId="0" applyNumberFormat="1" applyFont="1" applyBorder="1" applyAlignment="1">
      <alignment horizontal="left" vertical="center"/>
    </xf>
    <xf numFmtId="49" fontId="3" fillId="0" borderId="3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9" fontId="3" fillId="0" borderId="1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3" fillId="0" borderId="33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2" fillId="0" borderId="3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3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Relationship Id="rId2" Type="http://schemas.openxmlformats.org/officeDocument/2006/relationships/image" Target="../media/image2.emf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85090</xdr:colOff>
      <xdr:row>0</xdr:row>
      <xdr:rowOff>19050</xdr:rowOff>
    </xdr:from>
    <xdr:ext cx="1076960" cy="67564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/>
        <a:ln w="0" cmpd="sng">
          <a:noFill/>
          <a:miter lim="800000"/>
        </a:ln>
      </xdr:spPr>
    </xdr:pic>
    <xdr:clientData/>
  </xdr:oneCellAnchor>
  <xdr:oneCellAnchor>
    <xdr:from>
      <xdr:col>5</xdr:col>
      <xdr:colOff>762000</xdr:colOff>
      <xdr:row>0</xdr:row>
      <xdr:rowOff>37465</xdr:rowOff>
    </xdr:from>
    <xdr:ext cx="1076325" cy="6000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/>
        <a:ln w="0" cmpd="sng">
          <a:noFill/>
          <a:miter lim="800000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view="pageBreakPreview" tabSelected="1" showGridLines="0" zoomScale="115" zoomScaleNormal="115" zoomScaleSheetLayoutView="115" workbookViewId="0" topLeftCell="B1">
      <pane activePane="bottomRight" state="frozen" topLeftCell="D21" xSplit="2" ySplit="8"/>
      <selection activeCell="B1" sqref="B1"/>
      <selection pane="topRight" activeCell="C1" sqref="C1"/>
      <selection pane="bottomLeft" activeCell="A9" sqref="A9"/>
      <selection pane="bottomRight" activeCell="C14" sqref="C14"/>
    </sheetView>
  </sheetViews>
  <sheetFormatPr baseColWidth="10" defaultColWidth="11.43" defaultRowHeight="14.25"/>
  <cols>
    <col min="1" max="1" width="6.71" style="2" customWidth="1"/>
    <col min="2" max="2" width="12.43" style="3" customWidth="1"/>
    <col min="3" max="3" width="35.57" style="3" customWidth="1"/>
    <col min="4" max="4" width="8.43" style="3" bestFit="1" customWidth="1"/>
    <col min="5" max="7" width="15.71" style="3" customWidth="1"/>
    <col min="8" max="8" width="11.43" style="3"/>
    <col min="9" max="9" width="15.71" style="3" customWidth="1"/>
    <col min="10" max="254" width="11.43" style="3"/>
    <col min="255" max="256" width="11.43" style="4"/>
  </cols>
  <sheetData>
    <row r="1" ht="42" customHeight="1">
      <c r="B1" s="5" t="s">
        <v>0</v>
      </c>
      <c r="C1" s="6"/>
      <c r="D1" s="6"/>
      <c r="E1" s="6"/>
      <c r="F1" s="6"/>
      <c r="G1" s="6"/>
      <c r="I1" s="7">
        <f>+G35</f>
        <v>386494.60999999999</v>
      </c>
    </row>
    <row r="2" ht="21" customHeight="1">
      <c r="B2" s="8"/>
      <c r="C2" s="8"/>
      <c r="D2" s="8"/>
      <c r="E2" s="8"/>
      <c r="F2" s="8"/>
      <c r="G2" s="8"/>
    </row>
    <row r="3" ht="18" customHeight="1">
      <c r="B3" s="9" t="s">
        <v>1</v>
      </c>
      <c r="C3" s="10" t="s">
        <v>2</v>
      </c>
      <c r="D3" s="11"/>
      <c r="E3" s="11"/>
      <c r="F3" s="11"/>
      <c r="G3" s="12"/>
    </row>
    <row r="4" ht="20.25" customHeight="1">
      <c r="B4" s="13" t="s">
        <v>3</v>
      </c>
      <c r="C4" s="14" t="s">
        <v>4</v>
      </c>
      <c r="D4" s="15"/>
      <c r="E4" s="15"/>
      <c r="F4" s="16"/>
      <c r="G4" s="17"/>
    </row>
    <row r="5" ht="20.25" customHeight="1">
      <c r="B5" s="13" t="s">
        <v>5</v>
      </c>
      <c r="C5" s="14" t="s">
        <v>6</v>
      </c>
      <c r="D5" s="15"/>
      <c r="E5" s="16"/>
      <c r="F5" s="17" t="s">
        <v>7</v>
      </c>
      <c r="G5" s="17" t="s">
        <v>8</v>
      </c>
    </row>
    <row r="6" thickBot="1" ht="18.75" customHeight="1">
      <c r="B6" s="13" t="s">
        <v>9</v>
      </c>
      <c r="C6" s="18" t="s">
        <v>10</v>
      </c>
      <c r="D6" s="13"/>
      <c r="E6" s="13"/>
      <c r="F6" s="13"/>
      <c r="G6" s="13"/>
    </row>
    <row r="7" ht="14.25">
      <c r="B7" s="19" t="s">
        <v>11</v>
      </c>
      <c r="C7" s="20"/>
      <c r="D7" s="20"/>
      <c r="E7" s="20"/>
      <c r="F7" s="20"/>
      <c r="G7" s="21"/>
    </row>
    <row r="8" thickBot="1" ht="15">
      <c r="B8" s="22" t="s">
        <v>12</v>
      </c>
      <c r="C8" s="23" t="s">
        <v>13</v>
      </c>
      <c r="D8" s="23" t="s">
        <v>14</v>
      </c>
      <c r="E8" s="24" t="s">
        <v>15</v>
      </c>
      <c r="F8" s="25" t="s">
        <v>16</v>
      </c>
      <c r="G8" s="26" t="s">
        <v>17</v>
      </c>
    </row>
    <row r="9" ht="14.25">
      <c r="A9" s="27"/>
      <c r="B9" s="28" t="s">
        <v>18</v>
      </c>
      <c r="C9" s="29" t="s">
        <v>19</v>
      </c>
      <c r="D9" s="30" t="s">
        <v>18</v>
      </c>
      <c r="E9" s="31" t="s">
        <v>18</v>
      </c>
      <c r="F9" s="32" t="s">
        <v>18</v>
      </c>
      <c r="G9" s="33">
        <v>4095.7006999999999</v>
      </c>
    </row>
    <row r="10" ht="14.25">
      <c r="B10" s="34">
        <v>1</v>
      </c>
      <c r="C10" s="35" t="s">
        <v>20</v>
      </c>
      <c r="D10" s="36" t="s">
        <v>21</v>
      </c>
      <c r="E10" s="37">
        <v>1507.3099999999999</v>
      </c>
      <c r="F10" s="38">
        <v>1.73</v>
      </c>
      <c r="G10" s="39">
        <v>2607.6462999999999</v>
      </c>
    </row>
    <row r="11" ht="14.25">
      <c r="B11" s="34">
        <v>2</v>
      </c>
      <c r="C11" s="35" t="s">
        <v>22</v>
      </c>
      <c r="D11" s="36" t="s">
        <v>21</v>
      </c>
      <c r="E11" s="37">
        <v>664.30999999999995</v>
      </c>
      <c r="F11" s="38">
        <v>2.2400000000000002</v>
      </c>
      <c r="G11" s="39">
        <v>1488.0544</v>
      </c>
    </row>
    <row r="12" ht="14.25">
      <c r="B12" s="34" t="s">
        <v>18</v>
      </c>
      <c r="C12" s="40" t="s">
        <v>23</v>
      </c>
      <c r="D12" s="36" t="s">
        <v>18</v>
      </c>
      <c r="E12" s="37" t="s">
        <v>18</v>
      </c>
      <c r="F12" s="38" t="s">
        <v>18</v>
      </c>
      <c r="G12" s="41">
        <v>379633.46919999999</v>
      </c>
    </row>
    <row r="13" ht="14.25">
      <c r="B13" s="34">
        <v>3</v>
      </c>
      <c r="C13" s="35" t="s">
        <v>24</v>
      </c>
      <c r="D13" s="36" t="s">
        <v>25</v>
      </c>
      <c r="E13" s="37">
        <v>832.16999999999996</v>
      </c>
      <c r="F13" s="38">
        <v>10.99</v>
      </c>
      <c r="G13" s="39">
        <v>9145.5483000000004</v>
      </c>
    </row>
    <row r="14" ht="14.25">
      <c r="B14" s="34">
        <v>4</v>
      </c>
      <c r="C14" s="35" t="s">
        <v>26</v>
      </c>
      <c r="D14" s="36" t="s">
        <v>25</v>
      </c>
      <c r="E14" s="37">
        <v>10.5</v>
      </c>
      <c r="F14" s="38">
        <v>9.7300000000000004</v>
      </c>
      <c r="G14" s="39">
        <v>102.16500000000001</v>
      </c>
    </row>
    <row r="15" ht="14.25">
      <c r="B15" s="34">
        <v>5</v>
      </c>
      <c r="C15" s="35" t="s">
        <v>27</v>
      </c>
      <c r="D15" s="36" t="s">
        <v>25</v>
      </c>
      <c r="E15" s="37">
        <v>28.190000000000001</v>
      </c>
      <c r="F15" s="38">
        <v>13.51</v>
      </c>
      <c r="G15" s="39">
        <v>380.84690000000001</v>
      </c>
    </row>
    <row r="16" ht="14.25">
      <c r="B16" s="34">
        <v>6</v>
      </c>
      <c r="C16" s="35" t="s">
        <v>28</v>
      </c>
      <c r="D16" s="36" t="s">
        <v>25</v>
      </c>
      <c r="E16" s="37">
        <v>22.359999999999999</v>
      </c>
      <c r="F16" s="38">
        <v>29.59</v>
      </c>
      <c r="G16" s="39">
        <v>661.63239999999996</v>
      </c>
    </row>
    <row r="17" ht="14.25">
      <c r="B17" s="34">
        <v>7</v>
      </c>
      <c r="C17" s="35" t="s">
        <v>29</v>
      </c>
      <c r="D17" s="36" t="s">
        <v>25</v>
      </c>
      <c r="E17" s="37">
        <v>1387.25</v>
      </c>
      <c r="F17" s="38">
        <v>18.920000000000002</v>
      </c>
      <c r="G17" s="39">
        <v>26246.77</v>
      </c>
    </row>
    <row r="18" ht="14.25">
      <c r="B18" s="34">
        <v>8</v>
      </c>
      <c r="C18" s="35" t="s">
        <v>30</v>
      </c>
      <c r="D18" s="36" t="s">
        <v>31</v>
      </c>
      <c r="E18" s="37">
        <v>15128.4</v>
      </c>
      <c r="F18" s="38">
        <v>0.25</v>
      </c>
      <c r="G18" s="39">
        <v>3782.0999999999999</v>
      </c>
    </row>
    <row r="19" ht="14.25">
      <c r="B19" s="34">
        <v>9</v>
      </c>
      <c r="C19" s="35" t="s">
        <v>32</v>
      </c>
      <c r="D19" s="36" t="s">
        <v>25</v>
      </c>
      <c r="E19" s="37">
        <v>68.5</v>
      </c>
      <c r="F19" s="38">
        <v>266.10000000000002</v>
      </c>
      <c r="G19" s="39">
        <v>18227.849999999999</v>
      </c>
    </row>
    <row r="20" ht="14.25">
      <c r="B20" s="34">
        <v>10</v>
      </c>
      <c r="C20" s="35" t="s">
        <v>33</v>
      </c>
      <c r="D20" s="36" t="s">
        <v>34</v>
      </c>
      <c r="E20" s="37">
        <v>11895.34</v>
      </c>
      <c r="F20" s="38">
        <v>2.4399999999999999</v>
      </c>
      <c r="G20" s="39">
        <v>29024.6296</v>
      </c>
    </row>
    <row r="21" ht="14.25">
      <c r="B21" s="34">
        <v>11</v>
      </c>
      <c r="C21" s="35" t="s">
        <v>35</v>
      </c>
      <c r="D21" s="36" t="s">
        <v>34</v>
      </c>
      <c r="E21" s="37">
        <v>47472</v>
      </c>
      <c r="F21" s="38">
        <v>2.6400000000000001</v>
      </c>
      <c r="G21" s="39">
        <v>125326.08</v>
      </c>
    </row>
    <row r="22" ht="14.25">
      <c r="B22" s="34">
        <v>12</v>
      </c>
      <c r="C22" s="35" t="s">
        <v>36</v>
      </c>
      <c r="D22" s="36" t="s">
        <v>34</v>
      </c>
      <c r="E22" s="37">
        <v>47472</v>
      </c>
      <c r="F22" s="38">
        <v>1.72</v>
      </c>
      <c r="G22" s="39">
        <v>81651.839999999997</v>
      </c>
    </row>
    <row r="23" ht="14.25">
      <c r="B23" s="34">
        <v>13</v>
      </c>
      <c r="C23" s="35" t="s">
        <v>37</v>
      </c>
      <c r="D23" s="36" t="s">
        <v>38</v>
      </c>
      <c r="E23" s="37">
        <v>47472</v>
      </c>
      <c r="F23" s="38">
        <v>1.49</v>
      </c>
      <c r="G23" s="39">
        <v>70733.279999999999</v>
      </c>
    </row>
    <row r="24" ht="14.25">
      <c r="B24" s="34">
        <v>14</v>
      </c>
      <c r="C24" s="35" t="s">
        <v>39</v>
      </c>
      <c r="D24" s="36" t="s">
        <v>34</v>
      </c>
      <c r="E24" s="37">
        <v>47472</v>
      </c>
      <c r="F24" s="38">
        <v>0.19</v>
      </c>
      <c r="G24" s="39">
        <v>9019.6800000000003</v>
      </c>
    </row>
    <row r="25" ht="14.25">
      <c r="B25" s="34">
        <v>15</v>
      </c>
      <c r="C25" s="35" t="s">
        <v>40</v>
      </c>
      <c r="D25" s="36" t="s">
        <v>25</v>
      </c>
      <c r="E25" s="37">
        <v>55.700000000000003</v>
      </c>
      <c r="F25" s="38">
        <v>95.709999999999994</v>
      </c>
      <c r="G25" s="39">
        <v>5331.0469999999996</v>
      </c>
    </row>
    <row r="26" ht="14.25">
      <c r="B26" s="34" t="s">
        <v>18</v>
      </c>
      <c r="C26" s="40" t="s">
        <v>41</v>
      </c>
      <c r="D26" s="36" t="s">
        <v>18</v>
      </c>
      <c r="E26" s="37" t="s">
        <v>18</v>
      </c>
      <c r="F26" s="38" t="s">
        <v>18</v>
      </c>
      <c r="G26" s="41">
        <v>2765.4401040000002</v>
      </c>
    </row>
    <row r="27" ht="14.25">
      <c r="B27" s="34">
        <v>16</v>
      </c>
      <c r="C27" s="35" t="s">
        <v>42</v>
      </c>
      <c r="D27" s="36" t="s">
        <v>43</v>
      </c>
      <c r="E27" s="37">
        <v>2</v>
      </c>
      <c r="F27" s="38">
        <v>178.94</v>
      </c>
      <c r="G27" s="39">
        <v>357.88</v>
      </c>
    </row>
    <row r="28" ht="14.25">
      <c r="B28" s="34">
        <v>17</v>
      </c>
      <c r="C28" s="35" t="s">
        <v>44</v>
      </c>
      <c r="D28" s="36" t="s">
        <v>43</v>
      </c>
      <c r="E28" s="37">
        <v>2</v>
      </c>
      <c r="F28" s="38">
        <v>181.44999999999999</v>
      </c>
      <c r="G28" s="39">
        <v>362.89999999999998</v>
      </c>
    </row>
    <row r="29" ht="14.25">
      <c r="B29" s="34">
        <v>18</v>
      </c>
      <c r="C29" s="35" t="s">
        <v>45</v>
      </c>
      <c r="D29" s="36" t="s">
        <v>46</v>
      </c>
      <c r="E29" s="37">
        <v>200.00040000000001</v>
      </c>
      <c r="F29" s="38">
        <v>0.26000000000000001</v>
      </c>
      <c r="G29" s="39">
        <v>52.000104</v>
      </c>
    </row>
    <row r="30" ht="14.25">
      <c r="B30" s="34">
        <v>19</v>
      </c>
      <c r="C30" s="35" t="s">
        <v>47</v>
      </c>
      <c r="D30" s="36" t="s">
        <v>43</v>
      </c>
      <c r="E30" s="37">
        <v>6</v>
      </c>
      <c r="F30" s="38">
        <v>9.3200000000000003</v>
      </c>
      <c r="G30" s="39">
        <v>55.920000000000002</v>
      </c>
    </row>
    <row r="31" ht="14.25">
      <c r="B31" s="34">
        <v>20</v>
      </c>
      <c r="C31" s="35" t="s">
        <v>48</v>
      </c>
      <c r="D31" s="36" t="s">
        <v>43</v>
      </c>
      <c r="E31" s="37">
        <v>4</v>
      </c>
      <c r="F31" s="38">
        <v>21.879999999999999</v>
      </c>
      <c r="G31" s="39">
        <v>87.519999999999996</v>
      </c>
    </row>
    <row r="32" ht="14.25">
      <c r="B32" s="34">
        <v>21</v>
      </c>
      <c r="C32" s="35" t="s">
        <v>49</v>
      </c>
      <c r="D32" s="36" t="s">
        <v>43</v>
      </c>
      <c r="E32" s="37">
        <v>2</v>
      </c>
      <c r="F32" s="38">
        <v>14.42</v>
      </c>
      <c r="G32" s="39">
        <v>28.84</v>
      </c>
    </row>
    <row r="33" ht="14.25">
      <c r="B33" s="34">
        <v>22</v>
      </c>
      <c r="C33" s="35" t="s">
        <v>50</v>
      </c>
      <c r="D33" s="36" t="s">
        <v>43</v>
      </c>
      <c r="E33" s="37">
        <v>1</v>
      </c>
      <c r="F33" s="38">
        <v>349.63999999999999</v>
      </c>
      <c r="G33" s="39">
        <v>349.63999999999999</v>
      </c>
    </row>
    <row r="34" ht="14.25">
      <c r="B34" s="34">
        <v>23</v>
      </c>
      <c r="C34" s="35" t="s">
        <v>51</v>
      </c>
      <c r="D34" s="36" t="s">
        <v>43</v>
      </c>
      <c r="E34" s="37">
        <v>1</v>
      </c>
      <c r="F34" s="38">
        <v>1470.74</v>
      </c>
      <c r="G34" s="39">
        <v>1470.74</v>
      </c>
    </row>
    <row r="35" ht="14.25">
      <c r="B35" s="42" t="s">
        <v>52</v>
      </c>
      <c r="C35" s="43"/>
      <c r="D35" s="43"/>
      <c r="E35" s="43"/>
      <c r="F35" s="44"/>
      <c r="G35" s="45">
        <v>386494.60999999999</v>
      </c>
    </row>
    <row r="36" ht="14.25">
      <c r="B36" s="46" t="s">
        <v>53</v>
      </c>
      <c r="C36" s="47"/>
      <c r="D36" s="47"/>
      <c r="E36" s="47"/>
      <c r="F36" s="48" t="s">
        <v>54</v>
      </c>
      <c r="G36" s="49">
        <v>57974.191500000001</v>
      </c>
    </row>
    <row r="37" ht="14.25">
      <c r="B37" s="50" t="s">
        <v>55</v>
      </c>
      <c r="C37" s="51"/>
      <c r="D37" s="51"/>
      <c r="E37" s="51"/>
      <c r="F37" s="52"/>
      <c r="G37" s="53">
        <v>444468.8015</v>
      </c>
    </row>
    <row r="38" ht="14.25">
      <c r="B38" s="54"/>
      <c r="C38" s="55"/>
      <c r="D38" s="56"/>
      <c r="E38" s="57"/>
      <c r="F38" s="57"/>
      <c r="G38" s="58"/>
    </row>
    <row r="39" ht="14.25">
      <c r="B39" s="59" t="s">
        <v>56</v>
      </c>
      <c r="C39" s="60" t="s">
        <v>57</v>
      </c>
      <c r="D39" s="60"/>
      <c r="E39" s="60"/>
      <c r="F39" s="60"/>
      <c r="G39" s="61"/>
    </row>
    <row r="40" ht="14.25">
      <c r="B40" s="62"/>
      <c r="C40" s="60" t="s">
        <v>57</v>
      </c>
      <c r="D40" s="60"/>
      <c r="E40" s="60"/>
      <c r="F40" s="60"/>
      <c r="G40" s="61"/>
    </row>
    <row r="41" s="1" customFormat="1" ht="14.25">
      <c r="A41" s="2"/>
      <c r="B41" s="63"/>
      <c r="C41" s="64"/>
      <c r="D41" s="64"/>
      <c r="E41" s="64"/>
      <c r="F41" s="64"/>
      <c r="G41" s="6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2"/>
      <c r="IS41" s="2"/>
      <c r="IT41" s="2"/>
    </row>
    <row r="42" s="1" customFormat="1" ht="14.25">
      <c r="A42" s="2"/>
      <c r="B42" s="66" t="s">
        <v>58</v>
      </c>
      <c r="C42" s="67"/>
      <c r="D42" s="67"/>
      <c r="E42" s="68" t="s">
        <v>59</v>
      </c>
      <c r="F42" s="69"/>
      <c r="G42" s="7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2"/>
      <c r="IS42" s="2"/>
      <c r="IT42" s="2"/>
    </row>
    <row r="43" s="1" customFormat="1" ht="14.25">
      <c r="A43" s="2"/>
      <c r="B43" s="71"/>
      <c r="C43" s="67"/>
      <c r="D43" s="67"/>
      <c r="E43" s="72"/>
      <c r="F43" s="69"/>
      <c r="G43" s="7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2"/>
      <c r="IS43" s="2"/>
      <c r="IT43" s="2"/>
    </row>
    <row r="44" s="1" customFormat="1" ht="14.25">
      <c r="A44" s="2"/>
      <c r="B44" s="71"/>
      <c r="C44" s="67"/>
      <c r="D44" s="67"/>
      <c r="E44" s="72"/>
      <c r="F44" s="69"/>
      <c r="G44" s="7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2"/>
      <c r="IS44" s="2"/>
      <c r="IT44" s="2"/>
    </row>
    <row r="45" s="1" customFormat="1" ht="14.25">
      <c r="A45" s="2"/>
      <c r="B45" s="71"/>
      <c r="C45" s="67"/>
      <c r="D45" s="67"/>
      <c r="E45" s="72"/>
      <c r="F45" s="69"/>
      <c r="G45" s="7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2"/>
      <c r="IS45" s="2"/>
      <c r="IT45" s="2"/>
    </row>
    <row r="46" s="1" customFormat="1" ht="18">
      <c r="A46" s="2"/>
      <c r="B46" s="73"/>
      <c r="C46" s="74"/>
      <c r="D46" s="74"/>
      <c r="E46" s="75"/>
      <c r="F46" s="74"/>
      <c r="G46" s="7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2"/>
      <c r="IS46" s="2"/>
      <c r="IT46" s="2"/>
    </row>
    <row r="47" s="1" customFormat="1" ht="14.25">
      <c r="A47" s="2"/>
      <c r="B47" s="76" t="s">
        <v>60</v>
      </c>
      <c r="C47" s="77"/>
      <c r="D47" s="77" t="s">
        <v>61</v>
      </c>
      <c r="E47" s="77"/>
      <c r="F47" s="77"/>
      <c r="G47" s="7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2"/>
      <c r="IS47" s="2"/>
      <c r="IT47" s="2"/>
    </row>
    <row r="48" s="1" customFormat="1" ht="14.25" customHeight="1">
      <c r="A48" s="2"/>
      <c r="B48" s="79" t="s">
        <v>62</v>
      </c>
      <c r="C48" s="80"/>
      <c r="D48" s="80" t="s">
        <v>63</v>
      </c>
      <c r="E48" s="80"/>
      <c r="F48" s="80"/>
      <c r="G48" s="8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2"/>
      <c r="IS48" s="2"/>
      <c r="IT48" s="2"/>
    </row>
    <row r="49" s="1" customFormat="1" ht="14.25" customHeight="1">
      <c r="A49" s="2"/>
      <c r="B49" s="82"/>
      <c r="C49" s="83"/>
      <c r="D49" s="83"/>
      <c r="E49" s="83"/>
      <c r="F49" s="83"/>
      <c r="G49" s="8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2"/>
      <c r="IS49" s="2"/>
      <c r="IT49" s="2"/>
    </row>
    <row r="50" s="1" customFormat="1" ht="14.25" customHeight="1">
      <c r="A50" s="2"/>
      <c r="B50" s="82"/>
      <c r="C50" s="83"/>
      <c r="D50" s="83"/>
      <c r="E50" s="83"/>
      <c r="F50" s="83"/>
      <c r="G50" s="8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2"/>
      <c r="IS50" s="2"/>
      <c r="IT50" s="2"/>
    </row>
    <row r="51" s="1" customFormat="1" ht="20.25" customHeight="1">
      <c r="A51" s="2"/>
      <c r="B51" s="85" t="s">
        <v>64</v>
      </c>
      <c r="C51" s="86"/>
      <c r="D51" s="86"/>
      <c r="E51" s="87" t="s">
        <v>65</v>
      </c>
      <c r="F51" s="86"/>
      <c r="G51" s="8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2"/>
      <c r="IS51" s="2"/>
      <c r="IT51" s="2"/>
    </row>
    <row r="52" s="1" customFormat="1" ht="14.25">
      <c r="A52" s="89"/>
      <c r="B52" s="67"/>
      <c r="C52" s="90"/>
      <c r="D52" s="90"/>
      <c r="E52" s="90"/>
      <c r="F52" s="69"/>
      <c r="G52" s="7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2"/>
      <c r="IS52" s="2"/>
      <c r="IT52" s="2"/>
    </row>
    <row r="53" s="1" customFormat="1" ht="14.25">
      <c r="A53" s="89"/>
      <c r="B53" s="72" t="s">
        <v>66</v>
      </c>
      <c r="C53" s="67"/>
      <c r="D53" s="67"/>
      <c r="E53" s="72"/>
      <c r="F53" s="69"/>
      <c r="G53" s="7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2"/>
      <c r="IS53" s="2"/>
      <c r="IT53" s="2"/>
    </row>
    <row r="54" s="1" customFormat="1" ht="14.25">
      <c r="A54" s="89"/>
      <c r="B54" s="72"/>
      <c r="C54" s="67"/>
      <c r="D54" s="91"/>
      <c r="E54" s="91"/>
      <c r="F54" s="91"/>
      <c r="G54" s="9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2"/>
      <c r="IS54" s="2"/>
      <c r="IT54" s="2"/>
    </row>
    <row r="55" s="1" customFormat="1" ht="14.25">
      <c r="A55" s="89"/>
      <c r="B55" s="72"/>
      <c r="C55" s="67"/>
      <c r="D55" s="91"/>
      <c r="E55" s="91"/>
      <c r="F55" s="91"/>
      <c r="G55" s="9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2"/>
      <c r="IS55" s="2"/>
      <c r="IT55" s="2"/>
    </row>
    <row r="56" s="1" customFormat="1" ht="14.25">
      <c r="A56" s="89"/>
      <c r="B56" s="77" t="s">
        <v>67</v>
      </c>
      <c r="C56" s="77"/>
      <c r="D56" s="77" t="s">
        <v>68</v>
      </c>
      <c r="E56" s="77"/>
      <c r="F56" s="77"/>
      <c r="G56" s="9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2"/>
      <c r="IS56" s="2"/>
      <c r="IT56" s="2"/>
    </row>
    <row r="57" s="1" customFormat="1" ht="14.25">
      <c r="A57" s="89"/>
      <c r="B57" s="94" t="s">
        <v>69</v>
      </c>
      <c r="C57" s="94"/>
      <c r="D57" s="94" t="s">
        <v>70</v>
      </c>
      <c r="E57" s="94"/>
      <c r="F57" s="94"/>
      <c r="G57" s="9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2"/>
      <c r="IS57" s="2"/>
      <c r="IT57" s="2"/>
    </row>
    <row r="58" s="1" customFormat="1" ht="14.25">
      <c r="A58" s="89"/>
      <c r="B58" s="96"/>
      <c r="C58" s="96"/>
      <c r="D58" s="96"/>
      <c r="E58" s="96"/>
      <c r="F58" s="96"/>
      <c r="G58" s="9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2"/>
      <c r="IS58" s="2"/>
      <c r="IT58" s="2"/>
    </row>
    <row r="59" s="1" customFormat="1" ht="15" customHeight="1">
      <c r="A59" s="2"/>
      <c r="B59" s="98"/>
      <c r="C59" s="99"/>
      <c r="D59" s="99"/>
      <c r="E59" s="99"/>
      <c r="F59" s="100"/>
      <c r="G59" s="10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2"/>
      <c r="IS59" s="2"/>
      <c r="IT59" s="2"/>
    </row>
  </sheetData>
  <sheetProtection autoFilter="0" deleteColumns="0" deleteRows="0" formatCells="0" formatColumns="0" formatRows="0" insertColumns="0" insertHyperlinks="0" insertRows="0" pivotTables="0" sort="0"/>
  <mergeCells count="20">
    <mergeCell ref="B57:C57"/>
    <mergeCell ref="D48:G48"/>
    <mergeCell ref="B48:C48"/>
    <mergeCell ref="D47:G47"/>
    <mergeCell ref="C52:E52"/>
    <mergeCell ref="C39:G40"/>
    <mergeCell ref="B35:E35"/>
    <mergeCell ref="B36:E36"/>
    <mergeCell ref="B37:E37"/>
    <mergeCell ref="D56:G56"/>
    <mergeCell ref="D54:G54"/>
    <mergeCell ref="B56:C56"/>
    <mergeCell ref="B47:C47"/>
    <mergeCell ref="D57:G57"/>
    <mergeCell ref="B7:G7"/>
    <mergeCell ref="B1:G1"/>
    <mergeCell ref="B2:G2"/>
    <mergeCell ref="C3:G3"/>
    <mergeCell ref="C4:F4"/>
    <mergeCell ref="C5:E5"/>
  </mergeCells>
  <printOptions horizontalCentered="1"/>
  <pageMargins left="0.1965278" right="0.1965278" top="0.39375" bottom="0.39375" header="0" footer="0"/>
  <pageSetup r:id="rId1" paperSize="9" orientation="portrait" errors="blank" scale="80"/>
  <headerFooter alignWithMargins="0">
    <oddHeader>&amp;R
Pág. &amp;P de &amp;N</oddHeader>
  </headerFooter>
  <drawing r:id="rId2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Jose Carpio</dc:creator>
  <cp:lastModifiedBy>Jose Carpio</cp:lastModifiedBy>
  <dcterms:created xsi:type="dcterms:W3CDTF">2026-02-24T14:42:09Z</dcterms:created>
  <dcterms:modified xsi:type="dcterms:W3CDTF">2026-02-24T14:42:43Z</dcterms:modified>
</cp:coreProperties>
</file>